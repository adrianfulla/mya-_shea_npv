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4.xml.rels" ContentType="application/vnd.openxmlformats-package.relationships+xml"/>
  <Override PartName="/xl/worksheets/_rels/sheet13.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Hazards" sheetId="3" state="visible" r:id="rId5"/>
    <sheet name="Value chain" sheetId="4" state="visible" r:id="rId6"/>
    <sheet name="Calc" sheetId="5" state="visible" r:id="rId7"/>
    <sheet name="Supply" sheetId="6" state="visible" r:id="rId8"/>
    <sheet name="Engine" sheetId="7" state="visible" r:id="rId9"/>
    <sheet name="Portfolio" sheetId="8" state="visible" r:id="rId10"/>
    <sheet name="Results" sheetId="9" state="visible" r:id="rId11"/>
    <sheet name="Checks" sheetId="10" state="visible" r:id="rId12"/>
    <sheet name="Gates" sheetId="11" state="visible" r:id="rId13"/>
    <sheet name="Source audit" sheetId="12" state="visible" r:id="rId14"/>
    <sheet name="Sources" sheetId="13" state="visible" r:id="rId15"/>
    <sheet name="Sensitivity" sheetId="14" state="visible" r:id="rId16"/>
  </sheets>
  <definedNames>
    <definedName function="false" hidden="true" localSheetId="1" name="_xlnm._FilterDatabase" vbProcedure="false">Inputs!$A$4:$V$193</definedName>
    <definedName function="false" hidden="false" name="c_annual" vbProcedure="false">Calc!$C$8</definedName>
    <definedName function="false" hidden="false" name="c_api_share" vbProcedure="false">Calc!$C$38</definedName>
    <definedName function="false" hidden="false" name="c_avg_kw" vbProcedure="false">Calc!$C$12</definedName>
    <definedName function="false" hidden="false" name="c_bat_avoid" vbProcedure="false">Calc!$C$16</definedName>
    <definedName function="false" hidden="false" name="c_bat_cap" vbProcedure="false">Calc!$C$33</definedName>
    <definedName function="false" hidden="false" name="c_bat_kwh" vbProcedure="false">Calc!$C$32</definedName>
    <definedName function="false" hidden="false" name="c_bi0" vbProcedure="false">Calc!$C$23</definedName>
    <definedName function="false" hidden="false" name="c_bi1" vbProcedure="false">Calc!$C$24</definedName>
    <definedName function="false" hidden="false" name="c_catch" vbProcedure="false">Calc!$C$7</definedName>
    <definedName function="false" hidden="false" name="c_char" vbProcedure="false">Calc!$C$42</definedName>
    <definedName function="false" hidden="false" name="c_crude_kg" vbProcedure="false">'Value chain'!$B$4</definedName>
    <definedName function="false" hidden="false" name="c_D0" vbProcedure="false">Calc!$C$19</definedName>
    <definedName function="false" hidden="false" name="c_D1" vbProcedure="false">Calc!$C$20</definedName>
    <definedName function="false" hidden="false" name="c_daily" vbProcedure="false">Calc!$C$9</definedName>
    <definedName function="false" hidden="false" name="c_flood_cap" vbProcedure="false">Calc!$C$30</definedName>
    <definedName function="false" hidden="false" name="c_floss0" vbProcedure="false">Calc!$C$25</definedName>
    <definedName function="false" hidden="false" name="c_floss1" vbProcedure="false">Calc!$C$26</definedName>
    <definedName function="false" hidden="false" name="c_fob" vbProcedure="false">'Value chain'!$B$7</definedName>
    <definedName function="false" hidden="false" name="c_gen_avoid" vbProcedure="false">Calc!$C$17</definedName>
    <definedName function="false" hidden="false" name="c_gen_cap" vbProcedure="false">Calc!$C$35</definedName>
    <definedName function="false" hidden="false" name="c_gen_fuel" vbProcedure="false">Calc!$C$36</definedName>
    <definedName function="false" hidden="false" name="c_gen_kva" vbProcedure="false">Calc!$C$34</definedName>
    <definedName function="false" hidden="false" name="c_gh_share_dom" vbProcedure="false">'Value chain'!$E$43</definedName>
    <definedName function="false" hidden="false" name="c_gh_share_exp" vbProcedure="false">'Value chain'!$E$30</definedName>
    <definedName function="false" hidden="false" name="c_hourly" vbProcedure="false">Calc!$C$10</definedName>
    <definedName function="false" hidden="false" name="c_irr_cap" vbProcedure="false">Calc!$C$37</definedName>
    <definedName function="false" hidden="false" name="c_kernel" vbProcedure="false">Calc!$C$6</definedName>
    <definedName function="false" hidden="false" name="c_mango_margin" vbProcedure="false">Calc!$C$45</definedName>
    <definedName function="false" hidden="false" name="c_mango_mpt" vbProcedure="false">Calc!$C$46</definedName>
    <definedName function="false" hidden="false" name="c_mango_t" vbProcedure="false">Calc!$C$44</definedName>
    <definedName function="false" hidden="false" name="c_mango_yield" vbProcedure="false">Calc!$C$43</definedName>
    <definedName function="false" hidden="false" name="c_margin" vbProcedure="false">Calc!$C$4</definedName>
    <definedName function="false" hidden="false" name="c_margin_vc" vbProcedure="false">'Value chain'!$B$62</definedName>
    <definedName function="false" hidden="false" name="c_out_cost" vbProcedure="false">Calc!$C$15</definedName>
    <definedName function="false" hidden="false" name="c_out_hrs" vbProcedure="false">Calc!$C$11</definedName>
    <definedName function="false" hidden="false" name="c_out_pct" vbProcedure="false">Calc!$C$18</definedName>
    <definedName function="false" hidden="false" name="c_out_prod" vbProcedure="false">Calc!$C$13</definedName>
    <definedName function="false" hidden="false" name="c_out_spoil" vbProcedure="false">Calc!$C$14</definedName>
    <definedName function="false" hidden="false" name="c_premium" vbProcedure="false">Calc!$C$29</definedName>
    <definedName function="false" hidden="false" name="c_prop0" vbProcedure="false">Calc!$C$21</definedName>
    <definedName function="false" hidden="false" name="c_prop1" vbProcedure="false">Calc!$C$22</definedName>
    <definedName function="false" hidden="false" name="c_pv_cap" vbProcedure="false">Calc!$C$31</definedName>
    <definedName function="false" hidden="false" name="c_rec0" vbProcedure="false">Calc!$C$27</definedName>
    <definedName function="false" hidden="false" name="c_rec1" vbProcedure="false">Calc!$C$28</definedName>
    <definedName function="false" hidden="false" name="c_regen_ha" vbProcedure="false">Calc!$C$40</definedName>
    <definedName function="false" hidden="false" name="c_sales" vbProcedure="false">'Value chain'!$B$59</definedName>
    <definedName function="false" hidden="false" name="c_stove_served" vbProcedure="false">Calc!$C$41</definedName>
    <definedName function="false" hidden="false" name="c_sub_t" vbProcedure="false">Calc!$C$47</definedName>
    <definedName function="false" hidden="false" name="c_units" vbProcedure="false">'Value chain'!$B$5</definedName>
    <definedName function="false" hidden="false" name="c_units_amz" vbProcedure="false">'Value chain'!$B$6</definedName>
    <definedName function="false" hidden="false" name="c_unit_margin" vbProcedure="false">'Value chain'!$D$52</definedName>
    <definedName function="false" hidden="false" name="c_VST" vbProcedure="false">Calc!$C$5</definedName>
    <definedName function="false" hidden="false" name="c_wax" vbProcedure="false">Calc!$C$39</definedName>
    <definedName function="false" hidden="false" name="in_A01" vbProcedure="false">Inputs!$I$41</definedName>
    <definedName function="false" hidden="false" name="in_A02" vbProcedure="false">Inputs!$I$42</definedName>
    <definedName function="false" hidden="false" name="in_A03" vbProcedure="false">Inputs!$I$43</definedName>
    <definedName function="false" hidden="false" name="in_A04" vbProcedure="false">Inputs!$I$44</definedName>
    <definedName function="false" hidden="false" name="in_A05" vbProcedure="false">Inputs!$I$45</definedName>
    <definedName function="false" hidden="false" name="in_A06" vbProcedure="false">Inputs!$I$46</definedName>
    <definedName function="false" hidden="false" name="in_A07" vbProcedure="false">Inputs!$I$47</definedName>
    <definedName function="false" hidden="false" name="in_A08" vbProcedure="false">Inputs!$I$48</definedName>
    <definedName function="false" hidden="false" name="in_A09" vbProcedure="false">Inputs!$I$49</definedName>
    <definedName function="false" hidden="false" name="in_A10" vbProcedure="false">Inputs!$I$177</definedName>
    <definedName function="false" hidden="false" name="in_A11" vbProcedure="false">Inputs!$I$178</definedName>
    <definedName function="false" hidden="false" name="in_A12" vbProcedure="false">Inputs!$I$179</definedName>
    <definedName function="false" hidden="false" name="in_A13" vbProcedure="false">Inputs!$I$180</definedName>
    <definedName function="false" hidden="false" name="in_B01" vbProcedure="false">Inputs!$I$60</definedName>
    <definedName function="false" hidden="false" name="in_B02" vbProcedure="false">Inputs!$I$61</definedName>
    <definedName function="false" hidden="false" name="in_B03" vbProcedure="false">Inputs!$I$62</definedName>
    <definedName function="false" hidden="false" name="in_B04" vbProcedure="false">Inputs!$I$63</definedName>
    <definedName function="false" hidden="false" name="in_B05" vbProcedure="false">Inputs!$I$64</definedName>
    <definedName function="false" hidden="false" name="in_B06" vbProcedure="false">Inputs!$I$65</definedName>
    <definedName function="false" hidden="false" name="in_B07" vbProcedure="false">Inputs!$I$66</definedName>
    <definedName function="false" hidden="false" name="in_B08" vbProcedure="false">Inputs!$I$67</definedName>
    <definedName function="false" hidden="false" name="in_B09" vbProcedure="false">Inputs!$I$184</definedName>
    <definedName function="false" hidden="false" name="in_C01" vbProcedure="false">Inputs!$I$15</definedName>
    <definedName function="false" hidden="false" name="in_C02" vbProcedure="false">Inputs!$I$16</definedName>
    <definedName function="false" hidden="false" name="in_C03" vbProcedure="false">Inputs!$I$17</definedName>
    <definedName function="false" hidden="false" name="in_C04" vbProcedure="false">Inputs!$I$18</definedName>
    <definedName function="false" hidden="false" name="in_C05" vbProcedure="false">Inputs!$I$19</definedName>
    <definedName function="false" hidden="false" name="in_C06" vbProcedure="false">Inputs!$I$20</definedName>
    <definedName function="false" hidden="false" name="in_C07" vbProcedure="false">Inputs!$I$21</definedName>
    <definedName function="false" hidden="false" name="in_C08" vbProcedure="false">Inputs!$I$22</definedName>
    <definedName function="false" hidden="false" name="in_C09" vbProcedure="false">Inputs!$I$23</definedName>
    <definedName function="false" hidden="false" name="in_C10" vbProcedure="false">Inputs!$I$24</definedName>
    <definedName function="false" hidden="false" name="in_C11" vbProcedure="false">Inputs!$I$130</definedName>
    <definedName function="false" hidden="false" name="in_C12" vbProcedure="false">Inputs!$I$131</definedName>
    <definedName function="false" hidden="false" name="in_C13" vbProcedure="false">Inputs!$I$164</definedName>
    <definedName function="false" hidden="false" name="in_C14" vbProcedure="false">Inputs!$I$165</definedName>
    <definedName function="false" hidden="false" name="in_C15" vbProcedure="false">Inputs!$I$166</definedName>
    <definedName function="false" hidden="false" name="in_D01" vbProcedure="false">Inputs!$I$76</definedName>
    <definedName function="false" hidden="false" name="in_D02" vbProcedure="false">Inputs!$I$77</definedName>
    <definedName function="false" hidden="false" name="in_D03" vbProcedure="false">Inputs!$I$78</definedName>
    <definedName function="false" hidden="false" name="in_D04" vbProcedure="false">Inputs!$I$79</definedName>
    <definedName function="false" hidden="false" name="in_D05" vbProcedure="false">Inputs!$I$80</definedName>
    <definedName function="false" hidden="false" name="in_D06" vbProcedure="false">Inputs!$I$81</definedName>
    <definedName function="false" hidden="false" name="in_D07" vbProcedure="false">Inputs!$I$82</definedName>
    <definedName function="false" hidden="false" name="in_D08" vbProcedure="false">Inputs!$I$83</definedName>
    <definedName function="false" hidden="false" name="in_D09" vbProcedure="false">Inputs!$I$167</definedName>
    <definedName function="false" hidden="false" name="in_E01" vbProcedure="false">Inputs!$I$84</definedName>
    <definedName function="false" hidden="false" name="in_E02" vbProcedure="false">Inputs!$I$85</definedName>
    <definedName function="false" hidden="false" name="in_E03" vbProcedure="false">Inputs!$I$86</definedName>
    <definedName function="false" hidden="false" name="in_E04" vbProcedure="false">Inputs!$I$87</definedName>
    <definedName function="false" hidden="false" name="in_E05" vbProcedure="false">Inputs!$I$88</definedName>
    <definedName function="false" hidden="false" name="in_E06a" vbProcedure="false">Inputs!$I$89</definedName>
    <definedName function="false" hidden="false" name="in_E06b" vbProcedure="false">Inputs!$I$90</definedName>
    <definedName function="false" hidden="false" name="in_E07" vbProcedure="false">Inputs!$I$91</definedName>
    <definedName function="false" hidden="false" name="in_E08" vbProcedure="false">Inputs!$I$92</definedName>
    <definedName function="false" hidden="false" name="in_E09" vbProcedure="false">Inputs!$I$93</definedName>
    <definedName function="false" hidden="false" name="in_E10" vbProcedure="false">Inputs!$I$94</definedName>
    <definedName function="false" hidden="false" name="in_E11" vbProcedure="false">Inputs!$I$95</definedName>
    <definedName function="false" hidden="false" name="in_E12" vbProcedure="false">Inputs!$I$121</definedName>
    <definedName function="false" hidden="false" name="in_E13" vbProcedure="false">Inputs!$I$122</definedName>
    <definedName function="false" hidden="false" name="in_E14" vbProcedure="false">Inputs!$I$123</definedName>
    <definedName function="false" hidden="false" name="in_E15" vbProcedure="false">Inputs!$I$124</definedName>
    <definedName function="false" hidden="false" name="in_E16" vbProcedure="false">Inputs!$I$168</definedName>
    <definedName function="false" hidden="false" name="in_E17" vbProcedure="false">Inputs!$I$169</definedName>
    <definedName function="false" hidden="false" name="in_E18" vbProcedure="false">Inputs!$I$170</definedName>
    <definedName function="false" hidden="false" name="in_E19" vbProcedure="false">Inputs!$I$171</definedName>
    <definedName function="false" hidden="false" name="in_E20" vbProcedure="false">Inputs!$I$172</definedName>
    <definedName function="false" hidden="false" name="in_E21" vbProcedure="false">Inputs!$I$173</definedName>
    <definedName function="false" hidden="false" name="in_E22" vbProcedure="false">Inputs!$I$174</definedName>
    <definedName function="false" hidden="false" name="in_E23" vbProcedure="false">Inputs!$I$175</definedName>
    <definedName function="false" hidden="false" name="in_E24" vbProcedure="false">Inputs!$I$176</definedName>
    <definedName function="false" hidden="false" name="in_E25" vbProcedure="false">Inputs!$I$185</definedName>
    <definedName function="false" hidden="false" name="in_E26" vbProcedure="false">Inputs!$I$186</definedName>
    <definedName function="false" hidden="false" name="in_E27" vbProcedure="false">Inputs!$I$187</definedName>
    <definedName function="false" hidden="false" name="in_F01" vbProcedure="false">Inputs!$I$105</definedName>
    <definedName function="false" hidden="false" name="in_F02" vbProcedure="false">Inputs!$I$106</definedName>
    <definedName function="false" hidden="false" name="in_F03" vbProcedure="false">Inputs!$I$107</definedName>
    <definedName function="false" hidden="false" name="in_F04" vbProcedure="false">Inputs!$I$108</definedName>
    <definedName function="false" hidden="false" name="in_F05" vbProcedure="false">Inputs!$I$109</definedName>
    <definedName function="false" hidden="false" name="in_F06" vbProcedure="false">Inputs!$I$110</definedName>
    <definedName function="false" hidden="false" name="in_G01" vbProcedure="false">Inputs!$I$5</definedName>
    <definedName function="false" hidden="false" name="in_G02a" vbProcedure="false">Inputs!$I$6</definedName>
    <definedName function="false" hidden="false" name="in_G02b" vbProcedure="false">Inputs!$I$7</definedName>
    <definedName function="false" hidden="false" name="in_G03" vbProcedure="false">Inputs!$I$8</definedName>
    <definedName function="false" hidden="false" name="in_G04a" vbProcedure="false">Inputs!$I$9</definedName>
    <definedName function="false" hidden="false" name="in_G04b" vbProcedure="false">Inputs!$I$10</definedName>
    <definedName function="false" hidden="false" name="in_G04c" vbProcedure="false">Inputs!$I$11</definedName>
    <definedName function="false" hidden="false" name="in_G05" vbProcedure="false">Inputs!$I$12</definedName>
    <definedName function="false" hidden="false" name="in_G06" vbProcedure="false">Inputs!$I$13</definedName>
    <definedName function="false" hidden="false" name="in_G07" vbProcedure="false">Inputs!$I$14</definedName>
    <definedName function="false" hidden="false" name="in_G08" vbProcedure="false">Inputs!$I$126</definedName>
    <definedName function="false" hidden="false" name="in_G09" vbProcedure="false">Inputs!$I$127</definedName>
    <definedName function="false" hidden="false" name="in_G10" vbProcedure="false">Inputs!$I$128</definedName>
    <definedName function="false" hidden="false" name="in_G11" vbProcedure="false">Inputs!$I$129</definedName>
    <definedName function="false" hidden="false" name="in_H01" vbProcedure="false">Inputs!$I$25</definedName>
    <definedName function="false" hidden="false" name="in_H02" vbProcedure="false">Inputs!$I$26</definedName>
    <definedName function="false" hidden="false" name="in_H03" vbProcedure="false">Inputs!$I$27</definedName>
    <definedName function="false" hidden="false" name="in_H04" vbProcedure="false">Inputs!$I$28</definedName>
    <definedName function="false" hidden="false" name="in_H05" vbProcedure="false">Inputs!$I$29</definedName>
    <definedName function="false" hidden="false" name="in_H06" vbProcedure="false">Inputs!$I$30</definedName>
    <definedName function="false" hidden="false" name="in_H07" vbProcedure="false">Inputs!$I$31</definedName>
    <definedName function="false" hidden="false" name="in_H08" vbProcedure="false">Inputs!$I$32</definedName>
    <definedName function="false" hidden="false" name="in_H09" vbProcedure="false">Inputs!$I$33</definedName>
    <definedName function="false" hidden="false" name="in_H10" vbProcedure="false">Inputs!$I$120</definedName>
    <definedName function="false" hidden="false" name="in_I01" vbProcedure="false">Inputs!$I$34</definedName>
    <definedName function="false" hidden="false" name="in_I02" vbProcedure="false">Inputs!$I$35</definedName>
    <definedName function="false" hidden="false" name="in_I03" vbProcedure="false">Inputs!$I$36</definedName>
    <definedName function="false" hidden="false" name="in_I04" vbProcedure="false">Inputs!$I$37</definedName>
    <definedName function="false" hidden="false" name="in_I05" vbProcedure="false">Inputs!$I$38</definedName>
    <definedName function="false" hidden="false" name="in_I06" vbProcedure="false">Inputs!$I$39</definedName>
    <definedName function="false" hidden="false" name="in_I07" vbProcedure="false">Inputs!$I$40</definedName>
    <definedName function="false" hidden="false" name="in_I08" vbProcedure="false">Inputs!$I$117</definedName>
    <definedName function="false" hidden="false" name="in_I09" vbProcedure="false">Inputs!$I$182</definedName>
    <definedName function="false" hidden="false" name="in_I10" vbProcedure="false">Inputs!$I$183</definedName>
    <definedName function="false" hidden="false" name="in_M01a" vbProcedure="false">Inputs!$I$96</definedName>
    <definedName function="false" hidden="false" name="in_M01b" vbProcedure="false">Inputs!$I$97</definedName>
    <definedName function="false" hidden="false" name="in_M02" vbProcedure="false">Inputs!$I$98</definedName>
    <definedName function="false" hidden="false" name="in_M03" vbProcedure="false">Inputs!$I$99</definedName>
    <definedName function="false" hidden="false" name="in_M04" vbProcedure="false">Inputs!$I$100</definedName>
    <definedName function="false" hidden="false" name="in_M05" vbProcedure="false">Inputs!$I$101</definedName>
    <definedName function="false" hidden="false" name="in_M06" vbProcedure="false">Inputs!$I$102</definedName>
    <definedName function="false" hidden="false" name="in_M07" vbProcedure="false">Inputs!$I$103</definedName>
    <definedName function="false" hidden="false" name="in_M08" vbProcedure="false">Inputs!$I$104</definedName>
    <definedName function="false" hidden="false" name="in_M09" vbProcedure="false">Inputs!$I$125</definedName>
    <definedName function="false" hidden="false" name="in_M10" vbProcedure="false">Inputs!$I$132</definedName>
    <definedName function="false" hidden="false" name="in_M11" vbProcedure="false">Inputs!$I$191</definedName>
    <definedName function="false" hidden="false" name="in_N01" vbProcedure="false">Inputs!$I$111</definedName>
    <definedName function="false" hidden="false" name="in_N02" vbProcedure="false">Inputs!$I$112</definedName>
    <definedName function="false" hidden="false" name="in_N03a" vbProcedure="false">Inputs!$I$113</definedName>
    <definedName function="false" hidden="false" name="in_N03b" vbProcedure="false">Inputs!$I$114</definedName>
    <definedName function="false" hidden="false" name="in_N04" vbProcedure="false">Inputs!$I$115</definedName>
    <definedName function="false" hidden="false" name="in_N05" vbProcedure="false">Inputs!$I$116</definedName>
    <definedName function="false" hidden="false" name="in_P01" vbProcedure="false">Inputs!$I$118</definedName>
    <definedName function="false" hidden="false" name="in_P02" vbProcedure="false">Inputs!$I$119</definedName>
    <definedName function="false" hidden="false" name="in_R01" vbProcedure="false">Inputs!$I$50</definedName>
    <definedName function="false" hidden="false" name="in_R02" vbProcedure="false">Inputs!$I$51</definedName>
    <definedName function="false" hidden="false" name="in_R03" vbProcedure="false">Inputs!$I$52</definedName>
    <definedName function="false" hidden="false" name="in_R04a" vbProcedure="false">Inputs!$I$53</definedName>
    <definedName function="false" hidden="false" name="in_R04b" vbProcedure="false">Inputs!$I$54</definedName>
    <definedName function="false" hidden="false" name="in_R05" vbProcedure="false">Inputs!$I$55</definedName>
    <definedName function="false" hidden="false" name="in_R06" vbProcedure="false">Inputs!$I$56</definedName>
    <definedName function="false" hidden="false" name="in_R07" vbProcedure="false">Inputs!$I$57</definedName>
    <definedName function="false" hidden="false" name="in_R08a" vbProcedure="false">Inputs!$I$58</definedName>
    <definedName function="false" hidden="false" name="in_R08b" vbProcedure="false">Inputs!$I$59</definedName>
    <definedName function="false" hidden="false" name="in_R09" vbProcedure="false">Inputs!$I$193</definedName>
    <definedName function="false" hidden="false" name="in_R10" vbProcedure="false">Inputs!$I$188</definedName>
    <definedName function="false" hidden="false" name="in_R11" vbProcedure="false">Inputs!$I$189</definedName>
    <definedName function="false" hidden="false" name="in_S01" vbProcedure="false">Inputs!$I$68</definedName>
    <definedName function="false" hidden="false" name="in_S02" vbProcedure="false">Inputs!$I$69</definedName>
    <definedName function="false" hidden="false" name="in_S03" vbProcedure="false">Inputs!$I$70</definedName>
    <definedName function="false" hidden="false" name="in_S04" vbProcedure="false">Inputs!$I$71</definedName>
    <definedName function="false" hidden="false" name="in_S05" vbProcedure="false">Inputs!$I$72</definedName>
    <definedName function="false" hidden="false" name="in_S06" vbProcedure="false">Inputs!$I$73</definedName>
    <definedName function="false" hidden="false" name="in_S07" vbProcedure="false">Inputs!$I$74</definedName>
    <definedName function="false" hidden="false" name="in_S08" vbProcedure="false">Inputs!$I$75</definedName>
    <definedName function="false" hidden="false" name="in_S09" vbProcedure="false">Inputs!$I$181</definedName>
    <definedName function="false" hidden="false" name="in_S10" vbProcedure="false">Inputs!$I$190</definedName>
    <definedName function="false" hidden="false" name="in_V01" vbProcedure="false">Inputs!$I$133</definedName>
    <definedName function="false" hidden="false" name="in_V02" vbProcedure="false">Inputs!$I$134</definedName>
    <definedName function="false" hidden="false" name="in_V03" vbProcedure="false">Inputs!$I$135</definedName>
    <definedName function="false" hidden="false" name="in_V04" vbProcedure="false">Inputs!$I$136</definedName>
    <definedName function="false" hidden="false" name="in_V05" vbProcedure="false">Inputs!$I$137</definedName>
    <definedName function="false" hidden="false" name="in_V06" vbProcedure="false">Inputs!$I$138</definedName>
    <definedName function="false" hidden="false" name="in_V07" vbProcedure="false">Inputs!$I$139</definedName>
    <definedName function="false" hidden="false" name="in_V08" vbProcedure="false">Inputs!$I$140</definedName>
    <definedName function="false" hidden="false" name="in_V09" vbProcedure="false">Inputs!$I$141</definedName>
    <definedName function="false" hidden="false" name="in_V10" vbProcedure="false">Inputs!$I$142</definedName>
    <definedName function="false" hidden="false" name="in_V11" vbProcedure="false">Inputs!$I$143</definedName>
    <definedName function="false" hidden="false" name="in_V12" vbProcedure="false">Inputs!$I$144</definedName>
    <definedName function="false" hidden="false" name="in_V13" vbProcedure="false">Inputs!$I$145</definedName>
    <definedName function="false" hidden="false" name="in_V14" vbProcedure="false">Inputs!$I$146</definedName>
    <definedName function="false" hidden="false" name="in_V15" vbProcedure="false">Inputs!$I$147</definedName>
    <definedName function="false" hidden="false" name="in_V16" vbProcedure="false">Inputs!$I$148</definedName>
    <definedName function="false" hidden="false" name="in_V17" vbProcedure="false">Inputs!$I$149</definedName>
    <definedName function="false" hidden="false" name="in_V18" vbProcedure="false">Inputs!$I$150</definedName>
    <definedName function="false" hidden="false" name="in_V19" vbProcedure="false">Inputs!$I$151</definedName>
    <definedName function="false" hidden="false" name="in_V20" vbProcedure="false">Inputs!$I$152</definedName>
    <definedName function="false" hidden="false" name="in_V21" vbProcedure="false">Inputs!$I$153</definedName>
    <definedName function="false" hidden="false" name="in_V22" vbProcedure="false">Inputs!$I$154</definedName>
    <definedName function="false" hidden="false" name="in_V23" vbProcedure="false">Inputs!$I$155</definedName>
    <definedName function="false" hidden="false" name="in_V24" vbProcedure="false">Inputs!$I$156</definedName>
    <definedName function="false" hidden="false" name="in_V25" vbProcedure="false">Inputs!$I$157</definedName>
    <definedName function="false" hidden="false" name="in_V26" vbProcedure="false">Inputs!$I$158</definedName>
    <definedName function="false" hidden="false" name="in_V27" vbProcedure="false">Inputs!$I$159</definedName>
    <definedName function="false" hidden="false" name="in_V28" vbProcedure="false">Inputs!$I$160</definedName>
    <definedName function="false" hidden="false" name="in_V29" vbProcedure="false">Inputs!$I$161</definedName>
    <definedName function="false" hidden="false" name="in_V30" vbProcedure="false">Inputs!$I$162</definedName>
    <definedName function="false" hidden="false" name="in_V31" vbProcedure="false">Inputs!$I$163</definedName>
    <definedName function="false" hidden="false" name="in_V32" vbProcedure="false">Inputs!$I$192</definedName>
    <definedName function="false" hidden="false" name="p_npv" vbProcedure="false">Portfolio!$F$5</definedName>
    <definedName function="false" hidden="false" name="p_npv_cons" vbProcedure="false">Portfolio!$F$7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25" authorId="0">
      <text>
        <r>
          <rPr>
            <sz val="10"/>
            <rFont val="Arial"/>
            <family val="2"/>
          </rPr>
          <t xml:space="preserve">Follows the hazard scenario switch G09. Overwrite with L, B or H to fix this input.</t>
        </r>
      </text>
    </comment>
    <comment ref="H26" authorId="0">
      <text>
        <r>
          <rPr>
            <sz val="10"/>
            <rFont val="Arial"/>
            <family val="2"/>
          </rPr>
          <t xml:space="preserve">Follows the hazard scenario switch G09. Overwrite with L, B or H to fix this input.</t>
        </r>
      </text>
    </comment>
    <comment ref="H28" authorId="0">
      <text>
        <r>
          <rPr>
            <sz val="10"/>
            <rFont val="Arial"/>
            <family val="2"/>
          </rPr>
          <t xml:space="preserve">Follows the hazard scenario switch G09. Overwrite with L, B or H to fix this input.</t>
        </r>
      </text>
    </comment>
    <comment ref="H29" authorId="0">
      <text>
        <r>
          <rPr>
            <sz val="10"/>
            <rFont val="Arial"/>
            <family val="2"/>
          </rPr>
          <t xml:space="preserve">Follows the hazard scenario switch G09. Overwrite with L, B or H to fix this input.</t>
        </r>
      </text>
    </comment>
    <comment ref="H30" authorId="0">
      <text>
        <r>
          <rPr>
            <sz val="10"/>
            <rFont val="Arial"/>
            <family val="2"/>
          </rPr>
          <t xml:space="preserve">Follows the hazard scenario switch G09. Overwrite with L, B or H to fix this input.</t>
        </r>
      </text>
    </comment>
    <comment ref="H32" authorId="0">
      <text>
        <r>
          <rPr>
            <sz val="10"/>
            <rFont val="Arial"/>
            <family val="2"/>
          </rPr>
          <t xml:space="preserve">Follows the hazard scenario switch G09. Overwrite with L, B or H to fix this input.</t>
        </r>
      </text>
    </comment>
  </commentList>
</comments>
</file>

<file path=xl/sharedStrings.xml><?xml version="1.0" encoding="utf-8"?>
<sst xmlns="http://schemas.openxmlformats.org/spreadsheetml/2006/main" count="3434" uniqueCount="1695">
  <si>
    <t xml:space="preserve">Shea Resilience NPV Model: Tema factory and Tamale shea supply</t>
  </si>
  <si>
    <t xml:space="preserve">Purpose</t>
  </si>
  <si>
    <t xml:space="preserve">Compares climate-adaptation investments for a Tema (Free Zone) factory that buys crude shea butter from women processors around Tamale, refines it and makes cosmetics. Values are in constant 2026 USD; cedi-sourced figures were converted at GH₵11.55/USD.</t>
  </si>
  <si>
    <t xml:space="preserve">Case basis</t>
  </si>
  <si>
    <t xml:space="preserve">Case scenario built on market benchmarks, not company records: 200 t crude butter a year, bare baseline (no backup power, no insurance), 85% exports.</t>
  </si>
  <si>
    <t xml:space="preserve">How to use</t>
  </si>
  <si>
    <t xml:space="preserve">1) Change blue cells on Inputs (Low/Base/High columns) or pick the case in column H. 2) Set the hazard scenario with G09. 3) Change the export share with G05. 4) Switch options on in Portfolio. 5) Read Results and Value chain.</t>
  </si>
  <si>
    <t xml:space="preserve">Colour code</t>
  </si>
  <si>
    <t xml:space="preserve">Blue text = input you can change · Black = formula · Green = link to another sheet · Yellow fill = key result or switch.</t>
  </si>
  <si>
    <t xml:space="preserve">Confidence tags</t>
  </si>
  <si>
    <t xml:space="preserve">Local field evidence = Ghana or primary market source · Transferable evidence = other countries or global data · Analyst assumption = reasoned estimate or design choice, editable. Every input carries its sources, the quoted figure, a rationale and a verdict (Confirmed / Adjusted / Unsupported / New).</t>
  </si>
  <si>
    <t xml:space="preserve">Key switches</t>
  </si>
  <si>
    <t xml:space="preserve">G09 hazard scenario (1 Benign, 2 Base, 3 Stress) · G05 export share · C11 margin basis (1 bulk benchmark, 2 value chain blend) · C12 share of butter sold as retail jars · G08 carbon revenue (0 in base) · N05 building insurance in baseline (0, bare) · P02 grant co-funding.</t>
  </si>
  <si>
    <t xml:space="preserve">Sheets</t>
  </si>
  <si>
    <t xml:space="preserve">Inputs · Hazards (damage curves, scenario values) · Value chain (where the jar price goes, share staying in Ghana) · Calc (derived quantities) · Supply (butter supply and loss by option) · Engine (cash flows by option) · Portfolio (combined package) · Results · Sensitivity (snapshot) · Checks · Gates · Source audit · Sources.</t>
  </si>
  <si>
    <t xml:space="preserve">Tax</t>
  </si>
  <si>
    <t xml:space="preserve">Free Zone: 0% corporate tax for G04a years, then 15% on exports and 25% on domestic income, blended by G05. Tax is applied to positive operating flow; capital allowances are ignored (small, conservative). Whether the 2.5% Growth &amp; Sustainability Levy applies to Free Zone firms is not verified.</t>
  </si>
  <si>
    <t xml:space="preserve">Simplifications</t>
  </si>
  <si>
    <t xml:space="preserve">Backup power protects critical loads; production continues only in proportion to the load the battery (E06a) or genset (E25) covers. Option 8 models mango only; coconut rows are information for a later procurement option. Programme spend for supplier options is expensed. Portfolio uses a 20-year horizon for all options, so regeneration (which needs 30) is understated there. Supplier income is modelled for irrigation, apiaries and stoves only. Carbon is excluded unless G08 = 1.</t>
  </si>
  <si>
    <t xml:space="preserve">Limits to know</t>
  </si>
  <si>
    <t xml:space="preserve">Inputs that rest on reasoned estimates rather than sources include the Amazon FBA fee (check Amazon's Revenue Calculator), ocean freight (get a forwarder quote), the current US tariff on Ghana after 24 Jul 2026, retail price, flood depth at your site, and the programme effect sizes for fire, stoves and loyalty. Filter Inputs by 'Analyst assumption' to see them.</t>
  </si>
  <si>
    <t xml:space="preserve">Sensitivity sheet</t>
  </si>
  <si>
    <t xml:space="preserve">A snapshot computed by recalculating this workbook with each input at Low and High. It does not update live; recompute after major changes.</t>
  </si>
  <si>
    <t xml:space="preserve">Input register: every number with its source, quoted figure, rationale and verdict</t>
  </si>
  <si>
    <t xml:space="preserve">Edit blue cells only. Column H picks the case (L = Low, B = Base, H = High) per input; hazard rows follow the scenario switch G09. Column I is the value the model uses.</t>
  </si>
  <si>
    <t xml:space="preserve">ID</t>
  </si>
  <si>
    <t xml:space="preserve">Group</t>
  </si>
  <si>
    <t xml:space="preserve">Input</t>
  </si>
  <si>
    <t xml:space="preserve">Unit</t>
  </si>
  <si>
    <t xml:space="preserve">Low</t>
  </si>
  <si>
    <t xml:space="preserve">Base</t>
  </si>
  <si>
    <t xml:space="preserve">High</t>
  </si>
  <si>
    <t xml:space="preserve">Case</t>
  </si>
  <si>
    <t xml:space="preserve">Active value</t>
  </si>
  <si>
    <t xml:space="preserve">Confidence tag</t>
  </si>
  <si>
    <t xml:space="preserve">Verdict</t>
  </si>
  <si>
    <t xml:space="preserve">Rationale</t>
  </si>
  <si>
    <t xml:space="preserve">Correction to earlier source</t>
  </si>
  <si>
    <t xml:space="preserve">Source 1</t>
  </si>
  <si>
    <t xml:space="preserve">URL 1</t>
  </si>
  <si>
    <t xml:space="preserve">Quoted figure 1</t>
  </si>
  <si>
    <t xml:space="preserve">Source 2</t>
  </si>
  <si>
    <t xml:space="preserve">URL 2</t>
  </si>
  <si>
    <t xml:space="preserve">Quoted figure 2</t>
  </si>
  <si>
    <t xml:space="preserve">Source 3</t>
  </si>
  <si>
    <t xml:space="preserve">URL 3</t>
  </si>
  <si>
    <t xml:space="preserve">Quoted figure 3</t>
  </si>
  <si>
    <t xml:space="preserve">G01</t>
  </si>
  <si>
    <t xml:space="preserve">Global</t>
  </si>
  <si>
    <t xml:space="preserve">Discount rate, real USD</t>
  </si>
  <si>
    <t xml:space="preserve">%</t>
  </si>
  <si>
    <t xml:space="preserve">B</t>
  </si>
  <si>
    <t xml:space="preserve">Transferable evidence</t>
  </si>
  <si>
    <t xml:space="preserve">Adjusted</t>
  </si>
  <si>
    <t xml:space="preserve">Cost of equity = 5.24% US 10-yr + 4.23% mature-market premium + 9.71% Ghana country premium = 19.2% nominal, 16.4% real (10-yr breakeven inflation 2.36%). With 40% local debt at ~7.5% real, WACC ≈ 12.8%. Low case: concessional debt and a rating upgrade; high case: all-equity SME premium.</t>
  </si>
  <si>
    <t xml:space="preserve">Previous 8/12/16 used an older risk-free rate. Fitch upgraded Ghana to B in May 2026, so the country premium may fall.</t>
  </si>
  <si>
    <t xml:space="preserve">Damodaran, Jan 2026</t>
  </si>
  <si>
    <t xml:space="preserve">https://pages.stern.nyu.edu/~adamodar/New_Home_Page/datafile/ctryprem.html</t>
  </si>
  <si>
    <t xml:space="preserve">Ghana | Caa1 | 6.37% | 9.71% | 13.94%</t>
  </si>
  <si>
    <t xml:space="preserve">FRED DGS10, 1 Oct 2026</t>
  </si>
  <si>
    <t xml:space="preserve">https://fred.stlouisfed.org/series/DGS10</t>
  </si>
  <si>
    <t xml:space="preserve">2026-10-01: 5.24</t>
  </si>
  <si>
    <t xml:space="preserve">Graphic, 8 May 2026</t>
  </si>
  <si>
    <t xml:space="preserve">https://www.graphic.com.gh/business/business-news/fitch-upgrades-ghanas-sovereign-rating-as-debt-burden-eases.html</t>
  </si>
  <si>
    <t xml:space="preserve">upgraded … from 'B-' to 'B'</t>
  </si>
  <si>
    <t xml:space="preserve">G02a</t>
  </si>
  <si>
    <t xml:space="preserve">Horizon, plant options</t>
  </si>
  <si>
    <t xml:space="preserve">years</t>
  </si>
  <si>
    <t xml:space="preserve">Confirmed</t>
  </si>
  <si>
    <t xml:space="preserve">20 years matches standard appraisal practice for plant. Tree measures need 30+ years because benefits start late; 40 years is a sensitivity.</t>
  </si>
  <si>
    <t xml:space="preserve">ADB project appraisal guidance</t>
  </si>
  <si>
    <t xml:space="preserve">https://development.asia/summary/guidelines-economic-analysis-projects</t>
  </si>
  <si>
    <t xml:space="preserve">normally spans over 20–30 years</t>
  </si>
  <si>
    <t xml:space="preserve">ICRAF species profile</t>
  </si>
  <si>
    <t xml:space="preserve">https://apps.worldagroforestry.org/treedb2/speciesprofile.php?Spid=394</t>
  </si>
  <si>
    <t xml:space="preserve">trees do not start to bear fruit until they are 15-20 years old</t>
  </si>
  <si>
    <t xml:space="preserve">G02b</t>
  </si>
  <si>
    <t xml:space="preserve">Horizon, tree options</t>
  </si>
  <si>
    <t xml:space="preserve">G03</t>
  </si>
  <si>
    <t xml:space="preserve">Exchange rate (info only)</t>
  </si>
  <si>
    <t xml:space="preserve">GH₵/USD</t>
  </si>
  <si>
    <t xml:space="preserve">Local field evidence</t>
  </si>
  <si>
    <t xml:space="preserve">Model runs in USD; FX converts cedi-priced inputs. The cedi moved from ~16 to ~10 within 2025, so the high case is widened to 14.5.</t>
  </si>
  <si>
    <t xml:space="preserve">MyJoyOnline/BoG, Sep 2026</t>
  </si>
  <si>
    <t xml:space="preserve">https://www.myjoyonline.com/cedi-depreciates-by-9-5-in-nine-months-of-2026-bog/</t>
  </si>
  <si>
    <t xml:space="preserve">GH¢11.55 interbank</t>
  </si>
  <si>
    <t xml:space="preserve">Databank, 16 Sep 2026</t>
  </si>
  <si>
    <t xml:space="preserve">https://www.myjoyonline.com/cedi-to-end-year-at-gh%C2%A212-20-to-a-us-dollar-databank-research/</t>
  </si>
  <si>
    <t xml:space="preserve">GH¢12.20 at end-2026</t>
  </si>
  <si>
    <t xml:space="preserve">Barclays via Reuters, Jul 2025</t>
  </si>
  <si>
    <t xml:space="preserve">https://www.marketscreener.com/quote/stock/BARCLAYS-PLC-9583556/news/Ghana-s-cedi-set-to-weaken-sharply-as-gold-exports-plateau-and-spending-rises-Barclays-warns-50499015/</t>
  </si>
  <si>
    <t xml:space="preserve">14.5 per dollar by end-2026</t>
  </si>
  <si>
    <t xml:space="preserve">G04a</t>
  </si>
  <si>
    <t xml:space="preserve">Free Zone tax holiday</t>
  </si>
  <si>
    <t xml:space="preserve">Your factory is a Free Zone enterprise: 0% for years 1–10, then 15% on export income and 25% on domestic sales. Spot-checked against PwC. Whether the 2.5% Growth &amp; Sustainability Levy applies to Free Zone firms is unresolved.</t>
  </si>
  <si>
    <t xml:space="preserve">Previous model used a flat 25%. The ordinary agro-processing regime (5% for 5 years, then 20% in Tema) is kept as an alternative scenario.</t>
  </si>
  <si>
    <t xml:space="preserve">PwC Tax Summaries, Mar 2026</t>
  </si>
  <si>
    <t xml:space="preserve">https://taxsummaries.pwc.com/Ghana/Corporate/Tax-credits-and-incentives</t>
  </si>
  <si>
    <t xml:space="preserve">do not pay CIT for the first ten years … 15% … export … 25%</t>
  </si>
  <si>
    <t xml:space="preserve">PwC Tax Summaries</t>
  </si>
  <si>
    <t xml:space="preserve">https://taxsummaries.pwc.com/ghana/corporate/taxes-on-corporate-income</t>
  </si>
  <si>
    <t xml:space="preserve">The general corporate income tax (CIT) rate is 25%.</t>
  </si>
  <si>
    <t xml:space="preserve">G04b</t>
  </si>
  <si>
    <t xml:space="preserve">CIT on export income after holiday</t>
  </si>
  <si>
    <t xml:space="preserve">G04c</t>
  </si>
  <si>
    <t xml:space="preserve">CIT on domestic income after holiday</t>
  </si>
  <si>
    <t xml:space="preserve">G05</t>
  </si>
  <si>
    <t xml:space="preserve">Export share of sales</t>
  </si>
  <si>
    <t xml:space="preserve">Analyst assumption</t>
  </si>
  <si>
    <t xml:space="preserve">New</t>
  </si>
  <si>
    <t xml:space="preserve">Sets the blended tax rate after year 10. Free Zone firms are export-oriented; the minimum export share was not verified on a GFZA page, so confirm with GFZA.</t>
  </si>
  <si>
    <t xml:space="preserve">15% … export … 25%</t>
  </si>
  <si>
    <t xml:space="preserve">G06</t>
  </si>
  <si>
    <t xml:space="preserve">Capital allowance, plant (info only)</t>
  </si>
  <si>
    <t xml:space="preserve">% RB</t>
  </si>
  <si>
    <t xml:space="preserve">Only affects years 11+ because the first 10 years are tax-free. The engine taxes positive operating benefit after year 10 and ignores allowances, a small conservative simplification.</t>
  </si>
  <si>
    <t xml:space="preserve">PwC Deductions</t>
  </si>
  <si>
    <t xml:space="preserve">https://taxsummaries.pwc.com/ghana/corporate/deductions</t>
  </si>
  <si>
    <t xml:space="preserve">plant and machinery used in manufacturing … 30% reducing balance</t>
  </si>
  <si>
    <t xml:space="preserve">G07</t>
  </si>
  <si>
    <t xml:space="preserve">Supply-shock correlation, shea vs mango/coconut</t>
  </si>
  <si>
    <t xml:space="preserve">ρ</t>
  </si>
  <si>
    <t xml:space="preserve">No yield-correlation study exists. Opposite rainfall trends argue for low correlation; a shared El Niño/La Niña driver argues for a fat upper tail. No rainfall or yield series could be downloaded this session (NASA POWER blocked to automated access), so the range is a reasoned estimate.</t>
  </si>
  <si>
    <t xml:space="preserve">Previous base of 0.5 had no source; the KNUST study reports trends, not correlations.</t>
  </si>
  <si>
    <t xml:space="preserve">Atiah et al. 2019, KNUST</t>
  </si>
  <si>
    <t xml:space="preserve">https://ir.knust.edu.gh/items/55b8fbe9-58e6-4ed9-aedf-281400004a58/full</t>
  </si>
  <si>
    <t xml:space="preserve">decreasing trends of consecutive wet days … over the Savannah … increasing trends dominate the Forest zone</t>
  </si>
  <si>
    <t xml:space="preserve">Baidu 2016, KNUST</t>
  </si>
  <si>
    <t xml:space="preserve">https://ir.knust.edu.gh/items/3dfcb635-4563-4fad-9e72-aba3d0115d5c/full</t>
  </si>
  <si>
    <t xml:space="preserve">effects of strong El Niño and La Niña episodes on the region</t>
  </si>
  <si>
    <t xml:space="preserve">C01</t>
  </si>
  <si>
    <t xml:space="preserve">Company</t>
  </si>
  <si>
    <t xml:space="preserve">Crude shea butter purchased</t>
  </si>
  <si>
    <t xml:space="preserve">t/yr</t>
  </si>
  <si>
    <t xml:space="preserve">Case benchmark for a small/medium refiner-formulator. 200 t butter ≈ 540 t kernel at 37% yield ≈ 0.4% of national nut output. Savannah Fruits, a larger exporter, ships 10–12 containers a month.</t>
  </si>
  <si>
    <t xml:space="preserve">GNA, Sep 2026</t>
  </si>
  <si>
    <t xml:space="preserve">https://gna.org.gh/2026/09/vice-president-opoku-agyemang-opens-world-shea-expo-2026-in-tamale/</t>
  </si>
  <si>
    <t xml:space="preserve">130,000 to 150,000 metric tonnes</t>
  </si>
  <si>
    <t xml:space="preserve">Ajala et al. 2019</t>
  </si>
  <si>
    <t xml:space="preserve">https://doaj.org/article/73e0ffab0b6a4dd882aaedcc6ee0e28b</t>
  </si>
  <si>
    <t xml:space="preserve">The optimum 37% (w/w) yield</t>
  </si>
  <si>
    <t xml:space="preserve">How We Made It In Africa</t>
  </si>
  <si>
    <t xml:space="preserve">https://www.howwemadeitinafrica.com/ghana-company-sells-homegrown-shea-butter-to-unilever-and-loccitane/139951/</t>
  </si>
  <si>
    <t xml:space="preserve">10 to 12 containers every month</t>
  </si>
  <si>
    <t xml:space="preserve">C02</t>
  </si>
  <si>
    <t xml:space="preserve">Crude butter purchase price</t>
  </si>
  <si>
    <t xml:space="preserve">USD/kg</t>
  </si>
  <si>
    <t xml:space="preserve">Kernel at the TCDA minimum (~USD 780/t) ÷ 0.37 yield ≈ USD 2.1/kg in kernel cost alone; add processing and margin for ~2.8. Tridge has only 5 Ghana transactions (1.75–4.69).</t>
  </si>
  <si>
    <t xml:space="preserve">TCDA price dates from the 2025 season; no 2026/27 price found.</t>
  </si>
  <si>
    <t xml:space="preserve">Graphic, TCDA, Jul 2025</t>
  </si>
  <si>
    <t xml:space="preserve">https://www.graphic.com.gh/business/business-news/tcda-sets-gh-9-01-kg-as-minimum-producer-price-for-shea-nuts-from-july-1.html</t>
  </si>
  <si>
    <t xml:space="preserve">GH₵9.01 per kilogram</t>
  </si>
  <si>
    <t xml:space="preserve">37% (w/w) yield</t>
  </si>
  <si>
    <t xml:space="preserve">Tridge Ghana export samples, 2026</t>
  </si>
  <si>
    <t xml:space="preserve">https://www.tridge.com/intelligences/shea-butter/GH/price</t>
  </si>
  <si>
    <t xml:space="preserve">1.75 … 3.26 … 4.69 USD/kg</t>
  </si>
  <si>
    <t xml:space="preserve">C03</t>
  </si>
  <si>
    <t xml:space="preserve">Contribution margin per t crude butter</t>
  </si>
  <si>
    <t xml:space="preserve">USD/t</t>
  </si>
  <si>
    <t xml:space="preserve">Refined bulk butter sells for ~USD 4.7–6.0/kg against ~2.8 crude, leaving ~1.0–2.5/kg before refining cost. Cosmetic finished goods earn more, but no cosmetic price source was opened, so the high case is an assumption.</t>
  </si>
  <si>
    <t xml:space="preserve">Tridge refined shea butter, Apr 2026</t>
  </si>
  <si>
    <t xml:space="preserve">https://www.tridge.com/market-overview/refined-shea-butter</t>
  </si>
  <si>
    <t xml:space="preserve">India 5.99, Netherlands 5.76, France 4.70 USD/kg</t>
  </si>
  <si>
    <t xml:space="preserve">Tridge Ghana crude samples</t>
  </si>
  <si>
    <t xml:space="preserve">1.75–4.69 USD/kg</t>
  </si>
  <si>
    <t xml:space="preserve">C04</t>
  </si>
  <si>
    <t xml:space="preserve">Replacement premium in a short year</t>
  </si>
  <si>
    <t xml:space="preserve">USD/t butter</t>
  </si>
  <si>
    <t xml:space="preserve">Derived</t>
  </si>
  <si>
    <t xml:space="preserve">Per-kernel premium of USD 150/250/400 (a 27–40% shortage-year price rise plus extra haulage) × 2.7 t kernel per t butter.</t>
  </si>
  <si>
    <t xml:space="preserve">Gulf Times/AFP, Dec 2025</t>
  </si>
  <si>
    <t xml:space="preserve">https://www.gulf-times.com/article/717500/international/africa/sellers-under-strain-in-ivory-coasts-struggling-shea-industry</t>
  </si>
  <si>
    <t xml:space="preserve">250 CFA francs to 350 CFA per kilogram</t>
  </si>
  <si>
    <t xml:space="preserve">IFDC Tema port fact sheet, 2019</t>
  </si>
  <si>
    <t xml:space="preserve">https://ifdc.org/wp-content/uploads/2020/09/EnGRAIS_Port-Fact-Sheet-Tema_EN.pdf</t>
  </si>
  <si>
    <t xml:space="preserve">Road transit (Tema→Bobo-Dioulasso) 60 USD/t</t>
  </si>
  <si>
    <t xml:space="preserve">C05</t>
  </si>
  <si>
    <t xml:space="preserve">Unreplaceable share of a shortfall</t>
  </si>
  <si>
    <t xml:space="preserve">Unsupported</t>
  </si>
  <si>
    <t xml:space="preserve">No literature measures this. The Côte d'Ivoire 2025 anecdote (a buyer ~85% short) justifies a fat high case.</t>
  </si>
  <si>
    <t xml:space="preserve">normally … 3,500 and 4,000 tons … haven't even managed 500 tons</t>
  </si>
  <si>
    <t xml:space="preserve">C06</t>
  </si>
  <si>
    <t xml:space="preserve">Catchment supply ÷ requirement</t>
  </si>
  <si>
    <t xml:space="preserve">ratio</t>
  </si>
  <si>
    <t xml:space="preserve">Only ~40% of available nuts are collected nationally, so suppliers can usually find more; the ratio sets when structural decline turns into a deficit.</t>
  </si>
  <si>
    <t xml:space="preserve">Citi Newsroom, Jul 2025</t>
  </si>
  <si>
    <t xml:space="preserve">https://www.citinewsroom.com/2025/07/ghana-targets-640m-annual-revenue-from-shea-under-24-hour-economy-push/</t>
  </si>
  <si>
    <t xml:space="preserve">40% of the available shea nut resource is recovered</t>
  </si>
  <si>
    <t xml:space="preserve">C07</t>
  </si>
  <si>
    <t xml:space="preserve">Assets + inventory at Tema</t>
  </si>
  <si>
    <t xml:space="preserve">USD</t>
  </si>
  <si>
    <t xml:space="preserve">No direct benchmark for a refiner-formulator; the range sits between community centres and industrial plants. Replace with your asset register.</t>
  </si>
  <si>
    <t xml:space="preserve">Graphic, 2019</t>
  </si>
  <si>
    <t xml:space="preserve">https://www.graphic.com.gh/news/general-news/ghana-news-shea-butter-processing-facility-inaugurated-at-kpugi.html</t>
  </si>
  <si>
    <t xml:space="preserve">US$75,000 community centre</t>
  </si>
  <si>
    <t xml:space="preserve">Ecofin, Jul 2025</t>
  </si>
  <si>
    <t xml:space="preserve">https://www.ecofinagency.com/news/2307-47810-ghana-to-revive-shea-processing-plant-with-4-million-injection</t>
  </si>
  <si>
    <t xml:space="preserve">€4M rehabilitation of Buipe</t>
  </si>
  <si>
    <t xml:space="preserve">AllAfrica, Feb 2026</t>
  </si>
  <si>
    <t xml:space="preserve">https://allafrica.com/stories/202602110580.html</t>
  </si>
  <si>
    <t xml:space="preserve">US$90 million AAK factory</t>
  </si>
  <si>
    <t xml:space="preserve">C08</t>
  </si>
  <si>
    <t xml:space="preserve">Electricity use</t>
  </si>
  <si>
    <t xml:space="preserve">MWh/yr</t>
  </si>
  <si>
    <t xml:space="preserve">Heat dominates shea processing and is usually biomass or steam; electricity covers motors, vacuum, refining pumps, cold store and HVAC.</t>
  </si>
  <si>
    <t xml:space="preserve">Previous 350 MWh implied electric heating.</t>
  </si>
  <si>
    <t xml:space="preserve">Nounagnon et al. 2024</t>
  </si>
  <si>
    <t xml:space="preserve">https://ideas.repec.org/a/spr/envsyd/v44y2024i1d10.1007_s10669-023-09925-y.html</t>
  </si>
  <si>
    <t xml:space="preserve">8–10 kWh of heat per kg of produced crude shea butter</t>
  </si>
  <si>
    <t xml:space="preserve">Carré &amp; Quinsac 2011</t>
  </si>
  <si>
    <t xml:space="preserve">https://www.gcirc.org/fileadmin/documents/Proceedings/IRCPrague2011vol2/Oilmill_Refining_Process/1101-1104.pdf</t>
  </si>
  <si>
    <t xml:space="preserve">28.4 kWh of electric power … per ton of seeds</t>
  </si>
  <si>
    <t xml:space="preserve">C09</t>
  </si>
  <si>
    <t xml:space="preserve">Operating hours per day</t>
  </si>
  <si>
    <t xml:space="preserve">h</t>
  </si>
  <si>
    <t xml:space="preserve">Sets how many outage hours hit production. Two shifts is the base for a small refiner.</t>
  </si>
  <si>
    <t xml:space="preserve">C10</t>
  </si>
  <si>
    <t xml:space="preserve">Lost output not recovered later</t>
  </si>
  <si>
    <t xml:space="preserve">Part of the output lost in an outage or flood is caught up later; the rest is lost margin. Cross-check: total outage loss should land within the 0–10% of sales band firms report.</t>
  </si>
  <si>
    <t xml:space="preserve">World Bank Enterprise Survey Ghana 2023</t>
  </si>
  <si>
    <t xml:space="preserve">https://microdata.worldbank.org/catalog/6444</t>
  </si>
  <si>
    <t xml:space="preserve">losses as % of annual sales: 28.6% report 0, 12.6% report 5%, 11.3% report 10%</t>
  </si>
  <si>
    <t xml:space="preserve">H01</t>
  </si>
  <si>
    <t xml:space="preserve">Hazards</t>
  </si>
  <si>
    <t xml:space="preserve">Probability of a poor shea year</t>
  </si>
  <si>
    <t xml:space="preserve">/yr</t>
  </si>
  <si>
    <t xml:space="preserve">'Every 2–3 years' describes one tree. Trees fruit under 50% in sync, so a supply-wide bad year is rarer. Drier conditions raise variability, which supports a 0.5 high case.</t>
  </si>
  <si>
    <t xml:space="preserve">FAO, Boffa 1999</t>
  </si>
  <si>
    <t xml:space="preserve">https://www.fao.org/4/X3940E/X3940E09.htm</t>
  </si>
  <si>
    <t xml:space="preserve">varied by a factor of five in two consecutive years</t>
  </si>
  <si>
    <t xml:space="preserve">Bondé et al. 2019, Burkina</t>
  </si>
  <si>
    <t xml:space="preserve">https://agris.fao.org/search/fr/records/65df45000f3e94b9e5d6cd8e</t>
  </si>
  <si>
    <t xml:space="preserve">interannual variation … higher in drier climatic conditions</t>
  </si>
  <si>
    <t xml:space="preserve">GMet State of the Climate 2025</t>
  </si>
  <si>
    <t xml:space="preserve">https://www.meteo.gov.gh/documents/12579/State_of_the_climate_Report_2025.pdf</t>
  </si>
  <si>
    <t xml:space="preserve">Tamale recorded the longest dry spell with a maximum of 13 consecutive dry days</t>
  </si>
  <si>
    <t xml:space="preserve">H02</t>
  </si>
  <si>
    <t xml:space="preserve">Shortfall in a poor year</t>
  </si>
  <si>
    <t xml:space="preserve">Stand-level swings are large but average out across a catchment. No usable national series exists (FAOSTAT Ghana looks imputed).</t>
  </si>
  <si>
    <t xml:space="preserve">varied by a factor of five</t>
  </si>
  <si>
    <t xml:space="preserve">https://www.ecofinagency.com/news-agriculture/1607-47708-shea-sector-west-africa-market-struggles-as-export-bans-expand</t>
  </si>
  <si>
    <t xml:space="preserve">two years of reduced harvests</t>
  </si>
  <si>
    <t xml:space="preserve">H03</t>
  </si>
  <si>
    <t xml:space="preserve">Fire share of the poor-year shortfall</t>
  </si>
  <si>
    <t xml:space="preserve">Late fires hit flowering, but early fires can raise yield, and pollination and drought compete as causes. No study quantifies the fire share.</t>
  </si>
  <si>
    <t xml:space="preserve">Previous citation 'Husseini et al.' was wrong (first author Dahan), and its 825 km²/yr, 19,811 km² and 60% figures are internally inconsistent and unusable.</t>
  </si>
  <si>
    <t xml:space="preserve">Lamien et al. 2004</t>
  </si>
  <si>
    <t xml:space="preserve">https://revues.cirad.fr/index.php/fruits/article/download/35862/34641/37906</t>
  </si>
  <si>
    <t xml:space="preserve">late fires … coincide with shea flowering peaks and could harm resulting fruit production</t>
  </si>
  <si>
    <t xml:space="preserve">a light, early fire … lead to higher fruit production</t>
  </si>
  <si>
    <t xml:space="preserve">Dahan, Kasei &amp; Husseini 2023</t>
  </si>
  <si>
    <t xml:space="preserve">https://link.springer.com/10.1186/s42408-023-00198-z</t>
  </si>
  <si>
    <t xml:space="preserve">Fire activity started in October and peaked in December</t>
  </si>
  <si>
    <t xml:space="preserve">H04</t>
  </si>
  <si>
    <t xml:space="preserve">Structural tree-loss decline</t>
  </si>
  <si>
    <t xml:space="preserve">%/yr</t>
  </si>
  <si>
    <t xml:space="preserve">8M ÷ 500M = 1.6%/yr. The 5,000 ha figure implies only 0.06%/yr across Ghana's shea zone. The 8M figure is an advocacy estimate with no published method.</t>
  </si>
  <si>
    <t xml:space="preserve">'9.4 million trees in Ghana' is wrong (it also claims they yield 100 t of nuts). UN-REDD '77% loss' is forest cover, not shea.</t>
  </si>
  <si>
    <t xml:space="preserve">GSA via MyJoyOnline, Jul 2026</t>
  </si>
  <si>
    <t xml:space="preserve">https://www.myjoyonline.com/west-africa-losing-8-million-shea-trees-annually-global-shea-alliance-warns/</t>
  </si>
  <si>
    <t xml:space="preserve">8 million trees annually</t>
  </si>
  <si>
    <t xml:space="preserve">Bup et al. 2014, OCL</t>
  </si>
  <si>
    <t xml:space="preserve">https://www.ocl-journal.org/articles/ocl/pdf/2014/02/ocl130026.pdf</t>
  </si>
  <si>
    <t xml:space="preserve">About 500 million shea trees grow in Africa</t>
  </si>
  <si>
    <t xml:space="preserve">AllAfrica, Jun 2025</t>
  </si>
  <si>
    <t xml:space="preserve">https://allafrica.com/stories/202506110147.html</t>
  </si>
  <si>
    <t xml:space="preserve">5,000 hectares of shea trees annually</t>
  </si>
  <si>
    <t xml:space="preserve">H05</t>
  </si>
  <si>
    <t xml:space="preserve">Probability the Tema site floods</t>
  </si>
  <si>
    <t xml:space="preserve">Parts of Tema flooded in 2010, 2017, May 2025 and twice in June 2026, including the VALCO/Sentuo industrial zone. Site-level probability depends on elevation, so the high case is raised.</t>
  </si>
  <si>
    <t xml:space="preserve">MyJoyOnline, Jun 2010</t>
  </si>
  <si>
    <t xml:space="preserve">https://www.myjoyonline.com/?p=10047971</t>
  </si>
  <si>
    <t xml:space="preserve">bodies of 11 people who drowned in Tema</t>
  </si>
  <si>
    <t xml:space="preserve">Ghana Armed Forces, Jun 2026</t>
  </si>
  <si>
    <t xml:space="preserve">https://www.gafonline.mil.gh/blog-details/eastern-naval-command-conducts-flood-rescues-in-tema</t>
  </si>
  <si>
    <t xml:space="preserve">Waterland, VALCO/Sentuo, Tema New Town, Afienya and Alajo</t>
  </si>
  <si>
    <t xml:space="preserve">StarrFM/NADMO, May 2025</t>
  </si>
  <si>
    <t xml:space="preserve">https://starrfm.com.gh/may-18-floods-most-severe-in-5-years-in-parts-of-ghana-nadmo</t>
  </si>
  <si>
    <t xml:space="preserve">Tema among affected areas</t>
  </si>
  <si>
    <t xml:space="preserve">H06</t>
  </si>
  <si>
    <t xml:space="preserve">Flood depth without measures</t>
  </si>
  <si>
    <t xml:space="preserve">m</t>
  </si>
  <si>
    <t xml:space="preserve">No public depth exists for any Tema flood. 0.5 m (knee to thigh height) is a reasoned base for an industrial site flooded by overland flow; 1.0 m covers a low-lying parcel. Replace with a site survey: on the JRC curve damage rises from ~4% at 0.3 m to ~25% at 1.0 m.</t>
  </si>
  <si>
    <t xml:space="preserve">JRC depth-damage report</t>
  </si>
  <si>
    <t xml:space="preserve">https://publications.jrc.ec.europa.eu/repository/handle/JRC105688</t>
  </si>
  <si>
    <t xml:space="preserve">no Tema depth data</t>
  </si>
  <si>
    <t xml:space="preserve">H07</t>
  </si>
  <si>
    <t xml:space="preserve">Downtime per flood</t>
  </si>
  <si>
    <t xml:space="preserve">days</t>
  </si>
  <si>
    <t xml:space="preserve">Tema Shipyard reopened ~9 days after the 29 Jun 2026 flood, with partial operation in between.</t>
  </si>
  <si>
    <t xml:space="preserve">Citi Newsroom, Jul 2026</t>
  </si>
  <si>
    <t xml:space="preserve">https://www.citinewsroom.com/?p=1369423</t>
  </si>
  <si>
    <t xml:space="preserve">We shall be back to business on Wednesday</t>
  </si>
  <si>
    <t xml:space="preserve">Amegayie 2022, Tema survey</t>
  </si>
  <si>
    <t xml:space="preserve">https://www.etd.ceu.edu/2022/amegayie_amos.pdf</t>
  </si>
  <si>
    <t xml:space="preserve">52.4% … hours, 33.6% … days, 9.2% … weeks</t>
  </si>
  <si>
    <t xml:space="preserve">H08</t>
  </si>
  <si>
    <t xml:space="preserve">Grid outage hours</t>
  </si>
  <si>
    <t xml:space="preserve">h/yr</t>
  </si>
  <si>
    <t xml:space="preserve">Normal years ~50–70 h (WBES); 2016 dumsor ~720 h; 2024 survey implies up to ~1,100 h. Base blends normal years with a crisis roughly one year in four.</t>
  </si>
  <si>
    <t xml:space="preserve">Previous high of 1,500 h exceeded every observed crisis year.</t>
  </si>
  <si>
    <t xml:space="preserve">World Bank Enterprise Survey 2023</t>
  </si>
  <si>
    <t xml:space="preserve">modal 2 outages per month</t>
  </si>
  <si>
    <t xml:space="preserve">GNA / IEA Ghana, Jun 2024</t>
  </si>
  <si>
    <t xml:space="preserve">https://gna.org.gh/2024/06/accra-residents-experience-outages-four-times-a-week-iea-survey/</t>
  </si>
  <si>
    <t xml:space="preserve">75.4 per cent … at least thrice a week</t>
  </si>
  <si>
    <t xml:space="preserve">Energy for Growth Hub</t>
  </si>
  <si>
    <t xml:space="preserve">https://energyforgrowth.org/article/how-can-small-and-medium-enterprises-cope-with-power-outages</t>
  </si>
  <si>
    <t xml:space="preserve">about 10 outages in a month … about 6 hours</t>
  </si>
  <si>
    <t xml:space="preserve">H09</t>
  </si>
  <si>
    <t xml:space="preserve">Depth-damage curve (1 = Africa, 2 = Global)</t>
  </si>
  <si>
    <t xml:space="preserve">switch</t>
  </si>
  <si>
    <t xml:space="preserve">Values spot-checked. The Africa curve rests on one South African function, so the global curve (29.7% at 0.5 m) is the high case.</t>
  </si>
  <si>
    <t xml:space="preserve">JRC data via os-climate</t>
  </si>
  <si>
    <t xml:space="preserve">https://raw.githubusercontent.com/os-climate/physrisk/main/docs/user_guide/vulnerability/vulnerability_functions/inundation_jrc/raw.csv</t>
  </si>
  <si>
    <t xml:space="preserve">Africa_Mean 0.5 m 0.0627; 1.0 m 0.2472</t>
  </si>
  <si>
    <t xml:space="preserve">Huizinga et al. 2017, JRC</t>
  </si>
  <si>
    <t xml:space="preserve">only one function for the class 'Industry' … originating from South Africa</t>
  </si>
  <si>
    <t xml:space="preserve">I01</t>
  </si>
  <si>
    <t xml:space="preserve">1 Irrigation</t>
  </si>
  <si>
    <t xml:space="preserve">Solar borehole system, turnkey</t>
  </si>
  <si>
    <t xml:space="preserve">GH¢8M ÷ 25 = GH¢320k ≈ USD 27.7k each, including storage and delivery. A plot-scale kit (borehole + 1-acre pump + tank) can cost ~USD 5–10k.</t>
  </si>
  <si>
    <t xml:space="preserve">Agrilinks USD figures used an older exchange rate; at GH¢11.55 the pump is USD 2.2–2.6k.</t>
  </si>
  <si>
    <t xml:space="preserve">ISD Ghana, GROW2</t>
  </si>
  <si>
    <t xml:space="preserve">https://www.isd.gov.gh/government-builds-25-solar-boreholes-to-boost-vegetable-production-in-northern-ghana/</t>
  </si>
  <si>
    <t xml:space="preserve">25 modern solar powered boreholes … about GH¢8 million</t>
  </si>
  <si>
    <t xml:space="preserve">Agrilinks/IWMI</t>
  </si>
  <si>
    <t xml:space="preserve">https://agrilinks.org/post/cocoa-farmers-ghana-show-strong-interest-solar-based-irrigation-pump-costs-are-often-too-high</t>
  </si>
  <si>
    <t xml:space="preserve">GHS 25,000 … and GHS 30,000 … at least one acre</t>
  </si>
  <si>
    <t xml:space="preserve">I02</t>
  </si>
  <si>
    <t xml:space="preserve">Borehole success rate</t>
  </si>
  <si>
    <t xml:space="preserve">BGS defines success at hand-pump yield; irrigation needs more water, so rates are shifted down.</t>
  </si>
  <si>
    <t xml:space="preserve">BGS/UNICEF, Northern Region</t>
  </si>
  <si>
    <t xml:space="preserve">https://core.ac.uk/display/385054</t>
  </si>
  <si>
    <t xml:space="preserve">typically between 40 and 60%, but range from 20% … to around 70%</t>
  </si>
  <si>
    <t xml:space="preserve">I03</t>
  </si>
  <si>
    <t xml:space="preserve">Systems installed</t>
  </si>
  <si>
    <t xml:space="preserve">count</t>
  </si>
  <si>
    <t xml:space="preserve">Programme design choice; budget ~2.2 drilling attempts per working system.</t>
  </si>
  <si>
    <t xml:space="preserve">I04</t>
  </si>
  <si>
    <t xml:space="preserve">Garden net income per system</t>
  </si>
  <si>
    <t xml:space="preserve">USD/yr</t>
  </si>
  <si>
    <t xml:space="preserve">About 1 ha per system. 2026 gross margins (~USD 1.2k/ha) are well below 2017 USD figures. Accrues to the farmer account.</t>
  </si>
  <si>
    <t xml:space="preserve">Area per GROW2 system is contradictory (50 acres each vs 50 acres in total).</t>
  </si>
  <si>
    <t xml:space="preserve">FSRP Ghana, Aug 2026</t>
  </si>
  <si>
    <t xml:space="preserve">https://fsrp.org.gh/blog/From-Dry-Fields-To-Full-Baskets-%28How-Ghana%27s-Tomato-Farmers-Are-Re-writting-The-Dry-Season%29</t>
  </si>
  <si>
    <t xml:space="preserve">GHS 14,150 per hectare</t>
  </si>
  <si>
    <t xml:space="preserve">IWMI/ILSSI 2017</t>
  </si>
  <si>
    <t xml:space="preserve">https://borlaug.tamu.edu/wp-content/uploads/sites/3/2019/11/ilssi-technical-report-economic-analayis-ghana.pdf</t>
  </si>
  <si>
    <t xml:space="preserve">GHS 19,249/ha (USD 4,466/ha)</t>
  </si>
  <si>
    <t xml:space="preserve">I05</t>
  </si>
  <si>
    <t xml:space="preserve">Loyalty: cut in poor-year loss among served suppliers</t>
  </si>
  <si>
    <t xml:space="preserve">pts</t>
  </si>
  <si>
    <t xml:space="preserve">Qualitative evidence only. AAK's obligation-free pre-finance to 275,000 women competes for the same supply, so the low case is zero.</t>
  </si>
  <si>
    <t xml:space="preserve">GSA finance pilot</t>
  </si>
  <si>
    <t xml:space="preserve">https://globalshea.com/gsamain/storage/img/news/docs/Finance%20Reimagined_%20A%20Replicable%20Model%20For%20Financing%20The%20Shea%20Industry%20(1).pdf</t>
  </si>
  <si>
    <t xml:space="preserve">reduced and in most cases, eliminated side-selling</t>
  </si>
  <si>
    <t xml:space="preserve">Graphic, AAK 2026</t>
  </si>
  <si>
    <t xml:space="preserve">https://www.graphic.com.gh/news/general-news/ghanan-news-disbursement-for-shea-collectors-begins-in-bimbilla-275-000-women-to-receive-eur13m-for-2026-season.html</t>
  </si>
  <si>
    <t xml:space="preserve">obligation-free … not obligated to sell</t>
  </si>
  <si>
    <t xml:space="preserve">I06</t>
  </si>
  <si>
    <t xml:space="preserve">Seedling survival gain with watering</t>
  </si>
  <si>
    <t xml:space="preserve">Applies only when irrigation is paired with Option 3 nurseries.</t>
  </si>
  <si>
    <t xml:space="preserve">Noulekoun et al., Benin</t>
  </si>
  <si>
    <t xml:space="preserve">https://www.tropentag.de/2016/abstracts/pdf/1029.pdf</t>
  </si>
  <si>
    <t xml:space="preserve">reduced by ten-folds the mortality rate of … Parkia biglobosa</t>
  </si>
  <si>
    <t xml:space="preserve">I07</t>
  </si>
  <si>
    <t xml:space="preserve">O&amp;M</t>
  </si>
  <si>
    <t xml:space="preserve">% capex/yr</t>
  </si>
  <si>
    <t xml:space="preserve">Typical for solar pumping; no Ghana source found.</t>
  </si>
  <si>
    <t xml:space="preserve">A01</t>
  </si>
  <si>
    <t xml:space="preserve">2 Apiaries</t>
  </si>
  <si>
    <t xml:space="preserve">Hive, kit and training</t>
  </si>
  <si>
    <t xml:space="preserve">USD/hive</t>
  </si>
  <si>
    <t xml:space="preserve">Local top-bar box USD 20–40, shared protective kit and training. The 2017 GH¢750 converted at 2017 rates is ~USD 170, so the low case is optimistic.</t>
  </si>
  <si>
    <t xml:space="preserve">Bee Culture, Feb 2017</t>
  </si>
  <si>
    <t xml:space="preserve">https://www.beeculture.com/catch-buzz-ghana-wants-piece-global-honey-export-business-intends-fund-growth/</t>
  </si>
  <si>
    <t xml:space="preserve">cost of one beehive, other inputs and training at GH¢750</t>
  </si>
  <si>
    <t xml:space="preserve">Rufford, Bia, 2015</t>
  </si>
  <si>
    <t xml:space="preserve">https://media.rufford.org/media/project_reports/12807-1%20Final%20Report.pdf</t>
  </si>
  <si>
    <t xml:space="preserve">£13.50 per hive</t>
  </si>
  <si>
    <t xml:space="preserve">A02</t>
  </si>
  <si>
    <t xml:space="preserve">Honey per occupied colony</t>
  </si>
  <si>
    <t xml:space="preserve">kg/yr</t>
  </si>
  <si>
    <t xml:space="preserve">Frame hives in West Africa give 15–19 kg; top-bar hives run by new beekeepers in drier savanna will yield less.</t>
  </si>
  <si>
    <t xml:space="preserve">Jakpa 2015, Volta Region</t>
  </si>
  <si>
    <t xml:space="preserve">https://ir.knust.edu.gh/handle/123456789/8463</t>
  </si>
  <si>
    <t xml:space="preserve">18.70kg per beehive per season (Langstroth)</t>
  </si>
  <si>
    <t xml:space="preserve">USAID Côte d'Ivoire 2017</t>
  </si>
  <si>
    <t xml:space="preserve">https://pdf.usaid.gov/pdf_docs/PA00T98B.pdf</t>
  </si>
  <si>
    <t xml:space="preserve">A mean of 15.7 kg honey</t>
  </si>
  <si>
    <t xml:space="preserve">A03</t>
  </si>
  <si>
    <t xml:space="preserve">Wax as share of honey (top-bar)</t>
  </si>
  <si>
    <t xml:space="preserve">Top-bar hives harvest whole comb, so wax is ~8–10% of honey; frame hives give ~2%.</t>
  </si>
  <si>
    <t xml:space="preserve">LRRD 2013</t>
  </si>
  <si>
    <t xml:space="preserve">https://lrrd.org/lrrd25/5/haft25086.htm</t>
  </si>
  <si>
    <t xml:space="preserve">About 8 percent beeswax per kilogram of honey</t>
  </si>
  <si>
    <t xml:space="preserve">FAO</t>
  </si>
  <si>
    <t xml:space="preserve">https://www.fao.org/4/y5110e/y5110e07.htm</t>
  </si>
  <si>
    <t xml:space="preserve">about 10:1</t>
  </si>
  <si>
    <t xml:space="preserve">A04</t>
  </si>
  <si>
    <t xml:space="preserve">Colony occupancy</t>
  </si>
  <si>
    <t xml:space="preserve">Savanna sites colonise more slowly than forest-edge sites.</t>
  </si>
  <si>
    <t xml:space="preserve">Rufford, Bia, Ghana</t>
  </si>
  <si>
    <t xml:space="preserve">75% of the supplied beehives had been colonised</t>
  </si>
  <si>
    <t xml:space="preserve">Ja'afar-Furo 2017, NE Nigeria</t>
  </si>
  <si>
    <t xml:space="preserve">https://ijsses.tiu.edu.iq/index.php/ijsses/article/view/468</t>
  </si>
  <si>
    <t xml:space="preserve">22.5% in year 1 … 62.5% in year 2</t>
  </si>
  <si>
    <t xml:space="preserve">A05</t>
  </si>
  <si>
    <t xml:space="preserve">Raw beeswax price, farm-gate</t>
  </si>
  <si>
    <t xml:space="preserve">GH₵80 ÷ 11.55 = USD 6.9. Spot-checked.</t>
  </si>
  <si>
    <t xml:space="preserve">Previous source (Selina Wamucii) states no method.</t>
  </si>
  <si>
    <t xml:space="preserve">Bees for Babar, Tamale, 2026</t>
  </si>
  <si>
    <t xml:space="preserve">https://beesforbabar.org/photos_update_20260705.htm</t>
  </si>
  <si>
    <t xml:space="preserve">Beeswax … 80 cedis/kg</t>
  </si>
  <si>
    <t xml:space="preserve">A06</t>
  </si>
  <si>
    <t xml:space="preserve">Mature shea fruit gain near apiaries</t>
  </si>
  <si>
    <t xml:space="preserve">Stout compares pollination with none; it does not test adding hives. The direct apiary test found no mature-fruit effect.</t>
  </si>
  <si>
    <t xml:space="preserve">Nasare et al. 2024, N. Ghana</t>
  </si>
  <si>
    <t xml:space="preserve">https://doaj.org/article/5092b417b85c425388272fd8bdc264e2</t>
  </si>
  <si>
    <t xml:space="preserve">related to number of immature fruit set but not number of mature fruits</t>
  </si>
  <si>
    <t xml:space="preserve">Stout et al. 2018</t>
  </si>
  <si>
    <t xml:space="preserve">https://pollinationecology.org/index.php/jpe/article/download/473/158/1782</t>
  </si>
  <si>
    <t xml:space="preserve">1.86 ± 0.18 … 0.78 ± 0.09 (open vs bagged)</t>
  </si>
  <si>
    <t xml:space="preserve">A07</t>
  </si>
  <si>
    <t xml:space="preserve">Burned-area cut near apiaries</t>
  </si>
  <si>
    <t xml:space="preserve">Mechanism plausible (beekeepers guard and clear around hives) but unmeasured.</t>
  </si>
  <si>
    <t xml:space="preserve">The Darwin project is in Eastern Region, not the north, and reports no burned-area comparison.</t>
  </si>
  <si>
    <t xml:space="preserve">Darwin Initiative, Afram Plains</t>
  </si>
  <si>
    <t xml:space="preserve">https://www.darwininitiative.org.uk/documents/DAR30001/27704/30-001%20AR2%20-%20edited.pdf</t>
  </si>
  <si>
    <t xml:space="preserve">cumulatively protected over 500 hectares</t>
  </si>
  <si>
    <t xml:space="preserve">A08</t>
  </si>
  <si>
    <t xml:space="preserve">Hives installed</t>
  </si>
  <si>
    <t xml:space="preserve">Programme design choice.</t>
  </si>
  <si>
    <t xml:space="preserve">A09</t>
  </si>
  <si>
    <t xml:space="preserve">Delivered price of comparable cosmetic beeswax</t>
  </si>
  <si>
    <t xml:space="preserve">Cosmetic-grade beeswax from India is ₹320–610/kg = USD 3.3–6.4/kg ex-works; freight and small lots add 20–40%. Local farm-gate wax (USD 6.9) is about the same price, so the factory saves little by buying locally.</t>
  </si>
  <si>
    <t xml:space="preserve">IndiaMART beeswax, Oct 2026</t>
  </si>
  <si>
    <t xml:space="preserve">https://m.indiamart.com/impcat/beeswax.html</t>
  </si>
  <si>
    <t xml:space="preserve">₹325–₹450/kg (cosmetic grade, most common)</t>
  </si>
  <si>
    <t xml:space="preserve">FRED DEXINUS, 25 Sep 2026</t>
  </si>
  <si>
    <t xml:space="preserve">https://fred.stlouisfed.org/series/DEXINUS</t>
  </si>
  <si>
    <t xml:space="preserve">95.8100 Indian Rupees to One U.S. Dollar</t>
  </si>
  <si>
    <t xml:space="preserve">R01</t>
  </si>
  <si>
    <t xml:space="preserve">3 Regeneration</t>
  </si>
  <si>
    <t xml:space="preserve">Grafted shea seedling, delivered</t>
  </si>
  <si>
    <t xml:space="preserve">Ordinary seedlings cost ~USD 0.85 delivered; grafting adds scions, skilled labour and nursery time. Ask CRIG Bole or GSA nurseries for quotes.</t>
  </si>
  <si>
    <t xml:space="preserve">Auditor-General, Green Ghana audit, May 2026</t>
  </si>
  <si>
    <t xml:space="preserve">https://audit.gov.gh/files/audit_reports/Performance_Audit_Report_Of_The_Auditor-General_On_Management_Of_The_Green_Ghana_Project_By_Ministry_Of_Lands_And_Natural_Resources.pdf</t>
  </si>
  <si>
    <t xml:space="preserve">GH¢9 to GH¢10 per seedling (delivered)</t>
  </si>
  <si>
    <t xml:space="preserve">R02</t>
  </si>
  <si>
    <t xml:space="preserve">Planting + 3 years aftercare</t>
  </si>
  <si>
    <t xml:space="preserve">USD/ha</t>
  </si>
  <si>
    <t xml:space="preserve">Enrichment planting of 50–100 grafted trees/ha plus protection and weeding. Natural regeneration alone costs ~USD 60/ha.</t>
  </si>
  <si>
    <t xml:space="preserve">CRS / Regreening Africa</t>
  </si>
  <si>
    <t xml:space="preserve">https://www.crs.org/sites/default/files/2025-04/ReGreening%20Africa%20Case%20Study_final%20%281%29.pdf</t>
  </si>
  <si>
    <t xml:space="preserve">Cost to adopt land restoration practices was $58 per hectare (Ghana)</t>
  </si>
  <si>
    <t xml:space="preserve">R03</t>
  </si>
  <si>
    <t xml:space="preserve">Survival at year 5</t>
  </si>
  <si>
    <t xml:space="preserve">The independent audit and the Forestry Commission's own figure bracket the outcome; year-5 survival is below year-1.</t>
  </si>
  <si>
    <t xml:space="preserve">The UNDP 70% was a target, not a result. The Darwin 39% was mixed species in Eastern Region after under a year.</t>
  </si>
  <si>
    <t xml:space="preserve">Auditor-General, May 2026</t>
  </si>
  <si>
    <t xml:space="preserve">2,863 (17.3%) survived</t>
  </si>
  <si>
    <t xml:space="preserve">Graphic editorial, Jun 2026</t>
  </si>
  <si>
    <t xml:space="preserve">https://www.graphic.com.gh/daily-graphic-editorials/ghana-news-tree-planting-is-easy-nurturing-is-the-test.html</t>
  </si>
  <si>
    <t xml:space="preserve">78 per cent in the Northern Savannah Zone (self-reported)</t>
  </si>
  <si>
    <t xml:space="preserve">R04a</t>
  </si>
  <si>
    <t xml:space="preserve">Grafted trees: years to first fruit</t>
  </si>
  <si>
    <t xml:space="preserve">First-fruit years are supported; no source gives a full-production year, so 14 and 18 are assumptions. Seed-grown trees take 15–20 years.</t>
  </si>
  <si>
    <t xml:space="preserve">Graphic, CRIG Bole 2021</t>
  </si>
  <si>
    <t xml:space="preserve">https://www.graphic.com.gh/features/features/bole-crig-develops-short-gestation-shea.html</t>
  </si>
  <si>
    <t xml:space="preserve">from about 20 years to five or less</t>
  </si>
  <si>
    <t xml:space="preserve">UNDP 2023</t>
  </si>
  <si>
    <t xml:space="preserve">https://www.undp.org/node/416886</t>
  </si>
  <si>
    <t xml:space="preserve">from 15-20 years in the wild to 5-7 years</t>
  </si>
  <si>
    <t xml:space="preserve">Sanou et al. 2004</t>
  </si>
  <si>
    <t xml:space="preserve">https://agritrop.cirad.fr/548895</t>
  </si>
  <si>
    <t xml:space="preserve">Two grafts produced fruits two years after grafting</t>
  </si>
  <si>
    <t xml:space="preserve">R04b</t>
  </si>
  <si>
    <t xml:space="preserve">Grafted trees: years to full yield</t>
  </si>
  <si>
    <t xml:space="preserve">R05</t>
  </si>
  <si>
    <t xml:space="preserve">Mature yield</t>
  </si>
  <si>
    <t xml:space="preserve">kg dry kernel/tree/yr</t>
  </si>
  <si>
    <t xml:space="preserve">Measured parkland mean ~4 kg; natural stands ~1.5 kg. Spot-checked.</t>
  </si>
  <si>
    <t xml:space="preserve">The OCL '5 kg' was an assumption used to scale up a regional total.</t>
  </si>
  <si>
    <t xml:space="preserve">Lamien et al. 2004, Burkina</t>
  </si>
  <si>
    <t xml:space="preserve">https://fruits.edpsciences.org/articles/fruits/abs/2004/06/i4039/i4039.html</t>
  </si>
  <si>
    <t xml:space="preserve">around 4 kg·tree–1 (parklands)</t>
  </si>
  <si>
    <t xml:space="preserve">Practical Action</t>
  </si>
  <si>
    <t xml:space="preserve">https://kolibri.teacherinabox.org.au/modules/en-practical_action/Crop%20processing/Nut%20Processing%20and%20Oil%20Extraction/KnO-100293_Shea%20nut%20processing.pdf</t>
  </si>
  <si>
    <t xml:space="preserve">15 to 20 kg of fresh fruit … 3 to 4 kg of dry kernels</t>
  </si>
  <si>
    <t xml:space="preserve">R06</t>
  </si>
  <si>
    <t xml:space="preserve">Share of new nuts you capture</t>
  </si>
  <si>
    <t xml:space="preserve">No Ghana estimate exists. Competing buyers pre-finance without obligation, so high capture needs exclusive aggregation.</t>
  </si>
  <si>
    <t xml:space="preserve">Mahama et al. 2025, Tamale</t>
  </si>
  <si>
    <t xml:space="preserve">https://ageconsearch.umn.edu/record/368218/files/Mahama4332025AJAEES131074.pdf</t>
  </si>
  <si>
    <t xml:space="preserve">84% … ready market access</t>
  </si>
  <si>
    <t xml:space="preserve">obligation-free</t>
  </si>
  <si>
    <t xml:space="preserve">R07</t>
  </si>
  <si>
    <t xml:space="preserve">Seedlings planted</t>
  </si>
  <si>
    <t xml:space="preserve">Programme design choice; ~100 per ha.</t>
  </si>
  <si>
    <t xml:space="preserve">R08a</t>
  </si>
  <si>
    <t xml:space="preserve">Parkland carbon uptake</t>
  </si>
  <si>
    <t xml:space="preserve">t CO₂/ha/yr</t>
  </si>
  <si>
    <t xml:space="preserve">0.4 tC = 1.47 tCO₂. Revenue is 0 in the base case.</t>
  </si>
  <si>
    <t xml:space="preserve">Luedeling &amp; Neufeldt 2012</t>
  </si>
  <si>
    <t xml:space="preserve">https://www.gov.uk/research-for-development-outputs/carbon-sequestration-potential-of-parkland-agroforestry-in-the-sahel</t>
  </si>
  <si>
    <t xml:space="preserve">0.4 Mg C ha−1 a−1</t>
  </si>
  <si>
    <t xml:space="preserve">Sylvera Q3 2025</t>
  </si>
  <si>
    <t xml:space="preserve">https://sylvera.com/blog/q3-2025-carbon-data-snapshot</t>
  </si>
  <si>
    <t xml:space="preserve">$24/tCO₂e (BBB+ ARR)</t>
  </si>
  <si>
    <t xml:space="preserve">R08b</t>
  </si>
  <si>
    <t xml:space="preserve">ARR credit price</t>
  </si>
  <si>
    <t xml:space="preserve">USD/t CO₂</t>
  </si>
  <si>
    <t xml:space="preserve">B01</t>
  </si>
  <si>
    <t xml:space="preserve">4 Biochar</t>
  </si>
  <si>
    <t xml:space="preserve">Shea cake from supplier processing (dry)</t>
  </si>
  <si>
    <t xml:space="preserve">Your suppliers make the butter, so the cake sits at village processing centres, not in Tema. 200 t butter needs ~540–670 t kernel, leaving ~1.7–2.3 t wet cake per t butter, about 1.0–1.4 t dry.</t>
  </si>
  <si>
    <t xml:space="preserve">Previous version placed 275 t of cake at the factory; that no longer applies to a crude-butter buyer.</t>
  </si>
  <si>
    <t xml:space="preserve">Adamon 2021</t>
  </si>
  <si>
    <t xml:space="preserve">https://independent.academia.edu/DavidADAMON</t>
  </si>
  <si>
    <t xml:space="preserve">0.43 tonnes [cake] per tonne of processed dry shea nuts</t>
  </si>
  <si>
    <t xml:space="preserve">USAID/BDL roasting study</t>
  </si>
  <si>
    <t xml:space="preserve">https://pdf.usaid.gov/pdf_docs/PA00TGBJ.pdf</t>
  </si>
  <si>
    <t xml:space="preserve">[cake moisture] around 40%</t>
  </si>
  <si>
    <t xml:space="preserve">B02</t>
  </si>
  <si>
    <t xml:space="preserve">Char yield</t>
  </si>
  <si>
    <t xml:space="preserve">% of dry feedstock</t>
  </si>
  <si>
    <t xml:space="preserve">No shea-cake yield exists; oily cake may need pelletising. Test a batch.</t>
  </si>
  <si>
    <t xml:space="preserve">Cogent Engineering 2024 covers shea shells, not cake, and gives no yield.</t>
  </si>
  <si>
    <t xml:space="preserve">Anderson 2022</t>
  </si>
  <si>
    <t xml:space="preserve">https://woodgas.com/wp-content/uploads/2022/08/Small-and-medium-pyrolysis-20-minutes-2022-08-30.pdf</t>
  </si>
  <si>
    <t xml:space="preserve">Small to Midi scales: 15 – 25%</t>
  </si>
  <si>
    <t xml:space="preserve">Biochar Today 2025</t>
  </si>
  <si>
    <t xml:space="preserve">https://biochartoday.com/news/a-comparison-of-biochar-kilns-for-low-to-middle-income-countries/</t>
  </si>
  <si>
    <t xml:space="preserve">retort kilns up to 46%</t>
  </si>
  <si>
    <t xml:space="preserve">B03</t>
  </si>
  <si>
    <t xml:space="preserve">Kiln or retort</t>
  </si>
  <si>
    <t xml:space="preserve">~1 t/day of cake suits several flame-curtain kilns (low) or a small retort (base/high). Add USD 10–20k if pelletising is needed.</t>
  </si>
  <si>
    <t xml:space="preserve">RoCC kiln: medium $2K – 10K … large $20K – 80K</t>
  </si>
  <si>
    <t xml:space="preserve">B04</t>
  </si>
  <si>
    <t xml:space="preserve">Production cost</t>
  </si>
  <si>
    <t xml:space="preserve">USD/t char</t>
  </si>
  <si>
    <t xml:space="preserve">Free residue feedstock puts costs below the African median; pelletising, labour and testing put them above earth kilns.</t>
  </si>
  <si>
    <t xml:space="preserve">Kern et al. 2025</t>
  </si>
  <si>
    <t xml:space="preserve">https://repository.tudelft.nl/file/File_b7e9c73e-a192-46b1-a108-a7af523df54a?preview=1</t>
  </si>
  <si>
    <t xml:space="preserve">Sub-Saharan Africa: median 197.82 €/ton (Kontiki kiln)</t>
  </si>
  <si>
    <t xml:space="preserve">Biochar Today, Amazonia</t>
  </si>
  <si>
    <t xml:space="preserve">https://biochartoday.com/news/traditional-kilns-boost-farmer-net-revenue-by-94-with-biochar/</t>
  </si>
  <si>
    <t xml:space="preserve">$0.03-$0.08 per kilogram (earth kiln)</t>
  </si>
  <si>
    <t xml:space="preserve">B05</t>
  </si>
  <si>
    <t xml:space="preserve">Fuel value lost (cake now burned)</t>
  </si>
  <si>
    <t xml:space="preserve">Women processors often burn cake as fuel; turning it into char means buying replacement fuel.</t>
  </si>
  <si>
    <t xml:space="preserve">22.42 MJ / kg for the shea cake</t>
  </si>
  <si>
    <t xml:space="preserve">Ghana CIC 2019</t>
  </si>
  <si>
    <t xml:space="preserve">https://ghanacic.org/wp-content/uploads/2024/04/ECONOMIC-POTENTIAL-FOR-RESIDUAL-AGRO-AND-BIOMASS-FUELS-IN-GHANA_final.pdf</t>
  </si>
  <si>
    <t xml:space="preserve">Kernel shells … approx. GHS 0.3-0.7/kg</t>
  </si>
  <si>
    <t xml:space="preserve">B06</t>
  </si>
  <si>
    <t xml:space="preserve">Removal credit price, gross (sensitivity only)</t>
  </si>
  <si>
    <t xml:space="preserve">USD/t CO₂e</t>
  </si>
  <si>
    <t xml:space="preserve">Base revenue is 0 until a buyer signs.</t>
  </si>
  <si>
    <t xml:space="preserve">The Puro index page is stale (Nov 2024, EUR).</t>
  </si>
  <si>
    <t xml:space="preserve">S&amp;P via CarbonCredits, Dec 2025</t>
  </si>
  <si>
    <t xml:space="preserve">https://carboncredits.com/?p=39628</t>
  </si>
  <si>
    <t xml:space="preserve">around $150 per tonne</t>
  </si>
  <si>
    <t xml:space="preserve">IETA, Jun 2026</t>
  </si>
  <si>
    <t xml:space="preserve">https://www.ieta.org/uploads/wp-content/2026/03/IETA_CMWG_BusinessBrief_Biochar_FinalJune2026.pdf</t>
  </si>
  <si>
    <t xml:space="preserve">$100–$300</t>
  </si>
  <si>
    <t xml:space="preserve">Senken 2026</t>
  </si>
  <si>
    <t xml:space="preserve">https://www.senken.io/carbon-removal/biochar</t>
  </si>
  <si>
    <t xml:space="preserve">Artisanal: €100–150</t>
  </si>
  <si>
    <t xml:space="preserve">B07</t>
  </si>
  <si>
    <t xml:space="preserve">CO₂e removed per t char, net</t>
  </si>
  <si>
    <t xml:space="preserve">t</t>
  </si>
  <si>
    <t xml:space="preserve">Carbon content × 44/12 × permanence × (1 − process emissions): 0.65 × 3.667 × 0.75 × 0.93 = 1.7.</t>
  </si>
  <si>
    <t xml:space="preserve">Swisscontact's '2–3 t' is generic, not about shea, and its own throughput numbers do not reconcile.</t>
  </si>
  <si>
    <t xml:space="preserve">EBC Artisan C-Sink guidelines</t>
  </si>
  <si>
    <t xml:space="preserve">https://www.european-biochar.org/media/doc/2/artisan-c-sink-guidelines_v1_0.pdf</t>
  </si>
  <si>
    <t xml:space="preserve">2.67 t CO2e … 74% … after 100 years</t>
  </si>
  <si>
    <t xml:space="preserve">Lartey-Young &amp; Ziggah 2024</t>
  </si>
  <si>
    <t xml:space="preserve">https://www.tropentag.de/2024/abstracts/links/Lartey-Young_d3Kv4wqE.php</t>
  </si>
  <si>
    <t xml:space="preserve">organic carbon content reached 58%</t>
  </si>
  <si>
    <t xml:space="preserve">B08</t>
  </si>
  <si>
    <t xml:space="preserve">Verification and registry cost</t>
  </si>
  <si>
    <t xml:space="preserve">% of credit revenue</t>
  </si>
  <si>
    <t xml:space="preserve">No registry fee schedule could be opened. 25% covers lab analysis, third-party verification, registry issuance and a broker margin for a small first project.</t>
  </si>
  <si>
    <t xml:space="preserve">S01</t>
  </si>
  <si>
    <t xml:space="preserve">5 Stoves</t>
  </si>
  <si>
    <t xml:space="preserve">Processing stove installed</t>
  </si>
  <si>
    <t xml:space="preserve">Only one direct shea-centre price found (USD 355); larger multi-pot stoves cost more.</t>
  </si>
  <si>
    <t xml:space="preserve">The GSA tender has no price, quantity or lifetime.</t>
  </si>
  <si>
    <t xml:space="preserve">Ntereso centre budget, Bole, 2019</t>
  </si>
  <si>
    <t xml:space="preserve">https://www.globalgiving.org/pfil/39822/projdoc.pdf</t>
  </si>
  <si>
    <t xml:space="preserve">Morrison stove … 1,800 [GH₵] … 355 [USD]</t>
  </si>
  <si>
    <t xml:space="preserve">ESMAP Burkina 2013</t>
  </si>
  <si>
    <t xml:space="preserve">https://rise.esmap.org/data/files/library/burkina-faso/Clean%20Cooking/Burkina%20Faso_Impact%20assessment%20of%20improved%20cookstoves%20in%20Burkina%20Faso_2013.pdf</t>
  </si>
  <si>
    <t xml:space="preserve">environ 27 500 francs CFA</t>
  </si>
  <si>
    <t xml:space="preserve">S02</t>
  </si>
  <si>
    <t xml:space="preserve">Wood saved per kg butter</t>
  </si>
  <si>
    <t xml:space="preserve">The GSA baseline already includes semi-improved stoves, so 30–42% understates savings against fully traditional stoves.</t>
  </si>
  <si>
    <t xml:space="preserve">GSA stove tender, 2026</t>
  </si>
  <si>
    <t xml:space="preserve">https://globalshea.com/gsamain/storage/img/news/docs/TOR%20FOR%20SUPPLY%20OF%20ENERGY%20SAVING%20COOKSTOVES.docx.pdf</t>
  </si>
  <si>
    <t xml:space="preserve">2.0 – 2.4 kg … 1.4 kg of wood</t>
  </si>
  <si>
    <t xml:space="preserve">AVSF Burkina</t>
  </si>
  <si>
    <t xml:space="preserve">https://www.avsf.org/app/uploads/2023/12/actions-innovantes_equite-_ugf_cnd_avsf_2019.pdf</t>
  </si>
  <si>
    <t xml:space="preserve">réduire la consommation en bois de 54%</t>
  </si>
  <si>
    <t xml:space="preserve">S03</t>
  </si>
  <si>
    <t xml:space="preserve">Stove life</t>
  </si>
  <si>
    <t xml:space="preserve">Heavy batch use argues against more than 7 years.</t>
  </si>
  <si>
    <t xml:space="preserve">Envirofit SaverPro100</t>
  </si>
  <si>
    <t xml:space="preserve">https://techxlab.org/solutions/envirofit-saverpro100-stove/</t>
  </si>
  <si>
    <t xml:space="preserve">5 year minimum</t>
  </si>
  <si>
    <t xml:space="preserve">S04</t>
  </si>
  <si>
    <t xml:space="preserve">Cut in tree-loss decline</t>
  </si>
  <si>
    <t xml:space="preserve">pts/yr</t>
  </si>
  <si>
    <t xml:space="preserve">Farm clearing is the main named driver; no source gives fuelwood's share of shea felling.</t>
  </si>
  <si>
    <t xml:space="preserve">GCF FP137 ESMF</t>
  </si>
  <si>
    <t xml:space="preserve">https://files.acquia.undp.org/public/migration/gh/7edf98392d07687a6c332f8836d5f5378bbb4f2ffb5f1443d6ffdfbea6af7c58.pdf</t>
  </si>
  <si>
    <t xml:space="preserve">conversion to agriculture (at just under 40,000 ha per annum) … wood fuel harvesting and charcoal production</t>
  </si>
  <si>
    <t xml:space="preserve">S05</t>
  </si>
  <si>
    <t xml:space="preserve">Stoves installed</t>
  </si>
  <si>
    <t xml:space="preserve">Programme design; now aimed at your own butter suppliers.</t>
  </si>
  <si>
    <t xml:space="preserve">S06</t>
  </si>
  <si>
    <t xml:space="preserve">Butter per stove</t>
  </si>
  <si>
    <t xml:space="preserve">Sets processor fuel savings in the farmer account.</t>
  </si>
  <si>
    <t xml:space="preserve">S07</t>
  </si>
  <si>
    <t xml:space="preserve">Fuelwood price, Northern Region</t>
  </si>
  <si>
    <t xml:space="preserve">No firewood price found. Charcoal (~30 MJ/kg) costs GH₵1.52/kg in Tamale; firewood (~15 MJ/kg) is worth at most half that per kg on energy parity (~USD 66/t). Base USD 35/t allows for wood being gathered rather than bought.</t>
  </si>
  <si>
    <t xml:space="preserve">CERSGIS, end 2023</t>
  </si>
  <si>
    <t xml:space="preserve">https://cpsm.cersgis.org/media/reports/End_of_2023_Charcoal_price_tracking_v2.pdf</t>
  </si>
  <si>
    <t xml:space="preserve">Tamale at GH₵1.52 per kg [charcoal]</t>
  </si>
  <si>
    <t xml:space="preserve">18.7 MJ / kg for the shells</t>
  </si>
  <si>
    <t xml:space="preserve">S08</t>
  </si>
  <si>
    <t xml:space="preserve">Cookstove credit price (sensitivity only)</t>
  </si>
  <si>
    <t xml:space="preserve">USD 25 exceeded even the peak futures price (18.10).</t>
  </si>
  <si>
    <t xml:space="preserve">MSCI, May 2026</t>
  </si>
  <si>
    <t xml:space="preserve">https://www.msci.com/research-and-insights/quick-take/clean-cooking-dominates-corsia-but-premium-faces-pressure</t>
  </si>
  <si>
    <t xml:space="preserve">above USD 14 … broader clean-cooking average of around USD 4</t>
  </si>
  <si>
    <t xml:space="preserve">ICVCM, Mar 2025</t>
  </si>
  <si>
    <t xml:space="preserve">https://icvcm.org/?p=9246</t>
  </si>
  <si>
    <t xml:space="preserve">do not meet the CCP Assessment Framework requirements</t>
  </si>
  <si>
    <t xml:space="preserve">D01</t>
  </si>
  <si>
    <t xml:space="preserve">6 Flood</t>
  </si>
  <si>
    <t xml:space="preserve">Concrete U-drain</t>
  </si>
  <si>
    <t xml:space="preserve">USD/m</t>
  </si>
  <si>
    <t xml:space="preserve">Bottom-up from Aug 2026 material prices: ~USD 63/m before excavation.</t>
  </si>
  <si>
    <t xml:space="preserve">The paper gives no unit length; the previous USD 63–79/m treated the 550 mm height as length.</t>
  </si>
  <si>
    <t xml:space="preserve">KsTU 2024</t>
  </si>
  <si>
    <t xml:space="preserve">https://ijid.kstu.edu.gh/index.php/ijid/article/download/33/29/111</t>
  </si>
  <si>
    <t xml:space="preserve">Total cost for constructing the drain = GHȻ 400.00</t>
  </si>
  <si>
    <t xml:space="preserve">Yen.com.gh, Aug 2026</t>
  </si>
  <si>
    <t xml:space="preserve">https://yen.com.gh/ghana/309707-what-ghc50000-cover-starting-a-building-project-ghana/</t>
  </si>
  <si>
    <t xml:space="preserve">cement around GH¢75 to GH¢101 per bag</t>
  </si>
  <si>
    <t xml:space="preserve">D02</t>
  </si>
  <si>
    <t xml:space="preserve">Drain length</t>
  </si>
  <si>
    <t xml:space="preserve">Square perimeter of 2 acres = 360 m; of 5 acres = 569 m.</t>
  </si>
  <si>
    <t xml:space="preserve">D03</t>
  </si>
  <si>
    <t xml:space="preserve">Excavation, bedding and outfall</t>
  </si>
  <si>
    <t xml:space="preserve">% on drain cost</t>
  </si>
  <si>
    <t xml:space="preserve">Trench volume ~0.7–1.0 m³ per metre; local quote needed.</t>
  </si>
  <si>
    <t xml:space="preserve">D04</t>
  </si>
  <si>
    <t xml:space="preserve">Detention storage</t>
  </si>
  <si>
    <t xml:space="preserve">USD/m³</t>
  </si>
  <si>
    <t xml:space="preserve">UK 2007 prices; unlined earth ponds in Ghana should cost less.</t>
  </si>
  <si>
    <t xml:space="preserve">UK Environment Agency SuDS costs</t>
  </si>
  <si>
    <t xml:space="preserve">https://assets.publishing.service.gov.uk/media/6034ee6c8fa8f54334a5a6a9/Cost_estimation_for_SUDS.pdf</t>
  </si>
  <si>
    <t xml:space="preserve">£15-£20 per m3 detention volume</t>
  </si>
  <si>
    <t xml:space="preserve">D05</t>
  </si>
  <si>
    <t xml:space="preserve">Detention volume</t>
  </si>
  <si>
    <t xml:space="preserve">m³</t>
  </si>
  <si>
    <t xml:space="preserve">100 mm of rain on 5 acres is ~2,000 m³; storage only needs to hold the excess over drain capacity.</t>
  </si>
  <si>
    <t xml:space="preserve">D06</t>
  </si>
  <si>
    <t xml:space="preserve">Plinths, barriers, raised switchgear</t>
  </si>
  <si>
    <t xml:space="preserve">Bottom-up: machine plinths ~USD 3k, raising 300 m² by 0.3 m ~USD 10–15k, plus barriers and a transformer bund.</t>
  </si>
  <si>
    <t xml:space="preserve">UK FloodReady Review 2025</t>
  </si>
  <si>
    <t xml:space="preserve">https://assets.publishing.service.gov.uk/media/68ef85ce2adc28a81b4ad0e9/FloodReadyReport-_an_action_plan_to_build_the_resilience_of_people_and_properties.pdf</t>
  </si>
  <si>
    <t xml:space="preserve">less than £1,200 per plot (household)</t>
  </si>
  <si>
    <t xml:space="preserve">D07</t>
  </si>
  <si>
    <t xml:space="preserve">Flood depth with measures</t>
  </si>
  <si>
    <t xml:space="preserve">Depends on hydraulic design; replace with engineer's estimate.</t>
  </si>
  <si>
    <t xml:space="preserve">D08</t>
  </si>
  <si>
    <t xml:space="preserve">Drain clearing before each rainy season.</t>
  </si>
  <si>
    <t xml:space="preserve">0.5–10% of capex</t>
  </si>
  <si>
    <t xml:space="preserve">E01</t>
  </si>
  <si>
    <t xml:space="preserve">7 Energy</t>
  </si>
  <si>
    <t xml:space="preserve">Solar PV installed</t>
  </si>
  <si>
    <t xml:space="preserve">USD/kWp</t>
  </si>
  <si>
    <t xml:space="preserve">Module prices fell after 2023; current Ghana examples sit near USD 1,000/kWp. Free Zone status should remove duty on panels and inverters.</t>
  </si>
  <si>
    <t xml:space="preserve">UKGCC 2023</t>
  </si>
  <si>
    <t xml:space="preserve">https://ukgcc.com.gh/wp-content/uploads/2023/03/New-possibilities-for-solar-power-in-Ghana-2.pdf</t>
  </si>
  <si>
    <t xml:space="preserve">between $900 and $1400 per kW</t>
  </si>
  <si>
    <t xml:space="preserve">SurgePV, Jun 2026</t>
  </si>
  <si>
    <t xml:space="preserve">https://www.surgepv.com/blog/solar-incentives-in-ghana</t>
  </si>
  <si>
    <t xml:space="preserve">GHS 1,800,000 [150 kW]</t>
  </si>
  <si>
    <t xml:space="preserve">E02</t>
  </si>
  <si>
    <t xml:space="preserve">Solar yield, Tema</t>
  </si>
  <si>
    <t xml:space="preserve">kWh/kWp/yr</t>
  </si>
  <si>
    <t xml:space="preserve">Spot-checked. Harmattan dust lowers real output below the atlas figure.</t>
  </si>
  <si>
    <t xml:space="preserve">Previous high of 1,800 was unsupported. The Daystar/Nexans '47.7 MWh' figure is a typo.</t>
  </si>
  <si>
    <t xml:space="preserve">Global Solar Atlas</t>
  </si>
  <si>
    <t xml:space="preserve">https://api.globalsolaratlas.info/data/lta?loc=5.67,0.00</t>
  </si>
  <si>
    <t xml:space="preserve">PVOUT 1514.36 kWh/kWp</t>
  </si>
  <si>
    <t xml:space="preserve">Kasapreko 400 kWp project</t>
  </si>
  <si>
    <t xml:space="preserve">https://www.greenbuildingafrica.co.za/cross-boundary-gets-400kw-solar-pv-rooftop-project-over-the-line-in-ghana/</t>
  </si>
  <si>
    <t xml:space="preserve">570,570 kWh annually</t>
  </si>
  <si>
    <t xml:space="preserve">E03</t>
  </si>
  <si>
    <t xml:space="preserve">Grid tariff avoided</t>
  </si>
  <si>
    <t xml:space="preserve">USD/kWh</t>
  </si>
  <si>
    <t xml:space="preserve">Spot-checked. Levies are unresolved; VAT is recoverable for a registered manufacturer.</t>
  </si>
  <si>
    <t xml:space="preserve">PURC tariff, 1 Jul 2026</t>
  </si>
  <si>
    <t xml:space="preserve">https://purc.com.gh/attachment/346541-20260729120703.pdf</t>
  </si>
  <si>
    <t xml:space="preserve">301+ … 224.0395 GHp/kWh; SLT-LV 240.2104; SLT-MV 208.6329</t>
  </si>
  <si>
    <t xml:space="preserve">E04</t>
  </si>
  <si>
    <t xml:space="preserve">Diesel generation fuel cost</t>
  </si>
  <si>
    <t xml:space="preserve">Pump price ~USD 1.60–1.70/L × 0.28–0.40 L/kWh.</t>
  </si>
  <si>
    <t xml:space="preserve">Previous 0.41 used the September price floor.</t>
  </si>
  <si>
    <t xml:space="preserve">MyJoyOnline/NPA, 1 Oct 2026</t>
  </si>
  <si>
    <t xml:space="preserve">https://www.myjoyonline.com/fuel-prices-to-rise-from-october-1-diesel-could-hit-gh%C2%A219-60-comac/</t>
  </si>
  <si>
    <t xml:space="preserve">diesel from GH¢16.77 to GH¢17.97 per litre … GH¢19.60</t>
  </si>
  <si>
    <t xml:space="preserve">W Power fuel chart</t>
  </si>
  <si>
    <t xml:space="preserve">https://wpowerproducts.com/wp-content/uploads/2022/01/APPROXIMATE-FUEL-CONSUMPTION-CHART-Jan-2022.pdf</t>
  </si>
  <si>
    <t xml:space="preserve">100 kW full load 7.4 gal/hr</t>
  </si>
  <si>
    <t xml:space="preserve">E05</t>
  </si>
  <si>
    <t xml:space="preserve">Battery installed</t>
  </si>
  <si>
    <t xml:space="preserve">Small commercial systems in Ghana cost 2–3× the global turnkey average. Free Zone import relief may remove the 20% battery duty (unverified).</t>
  </si>
  <si>
    <t xml:space="preserve">BNEF via Energy-Storage.news, Dec 2025</t>
  </si>
  <si>
    <t xml:space="preserve">https://www.energy-storage.news/?p=92133</t>
  </si>
  <si>
    <t xml:space="preserve">turnkey … US$117/kWh</t>
  </si>
  <si>
    <t xml:space="preserve">E06a</t>
  </si>
  <si>
    <t xml:space="preserve">Critical electric load</t>
  </si>
  <si>
    <t xml:space="preserve">kW</t>
  </si>
  <si>
    <t xml:space="preserve">Heat is not electric; critical load is motors, vacuum, cold store, lab and IT. Needs a load audit.</t>
  </si>
  <si>
    <t xml:space="preserve">8–10 kWh of heat per kg</t>
  </si>
  <si>
    <t xml:space="preserve">E06b</t>
  </si>
  <si>
    <t xml:space="preserve">Battery backup hours</t>
  </si>
  <si>
    <t xml:space="preserve">E07</t>
  </si>
  <si>
    <t xml:space="preserve">Spoilage and restart per outage</t>
  </si>
  <si>
    <t xml:space="preserve">No per-event data. Total outage cost is cross-checked against the 0–10% of sales band.</t>
  </si>
  <si>
    <t xml:space="preserve">losses as % of annual sales … 5% … 10%</t>
  </si>
  <si>
    <t xml:space="preserve">E08</t>
  </si>
  <si>
    <t xml:space="preserve">PPA discount to grid</t>
  </si>
  <si>
    <t xml:space="preserve">At USD 1,000/kWp and 13% WACC, solar costs ~USD 0.10/kWh, leaving room for a 20–35% discount.</t>
  </si>
  <si>
    <t xml:space="preserve">Renewable Energy Magazine, 2019</t>
  </si>
  <si>
    <t xml:space="preserve">https://renewableenergymagazine.com/pv_solar/daystar-power-expands-to-ghana-20190409</t>
  </si>
  <si>
    <t xml:space="preserve">save clients up to 20 percent</t>
  </si>
  <si>
    <t xml:space="preserve">E09</t>
  </si>
  <si>
    <t xml:space="preserve">PV size</t>
  </si>
  <si>
    <t xml:space="preserve">kWp</t>
  </si>
  <si>
    <t xml:space="preserve">Sized so daytime output stays below daytime load (no export credit needed).</t>
  </si>
  <si>
    <t xml:space="preserve">E10</t>
  </si>
  <si>
    <t xml:space="preserve">Diesel genset installed</t>
  </si>
  <si>
    <t xml:space="preserve">USD/kVA</t>
  </si>
  <si>
    <t xml:space="preserve">Seven new 50 kVA sets listed in Greater Accra: GH₵85,000–250,000 (USD 7.4k–21.6k), mostly GH₵200,000. Per kVA: USD 147 / 346 / 433. Classified listings, not quotes; installation may be extra.</t>
  </si>
  <si>
    <t xml:space="preserve">Jiji Ghana listings, Oct 2026</t>
  </si>
  <si>
    <t xml:space="preserve">https://jiji.com.gh/search?query=50kva%20diesel%20generator</t>
  </si>
  <si>
    <t xml:space="preserve">50KVA Stamford Silent Diesel Generator - GH₵ 85,000 … Perkins … GH₵ 200,000 … GH₵ 250,000</t>
  </si>
  <si>
    <t xml:space="preserve">E11</t>
  </si>
  <si>
    <t xml:space="preserve">Outage protection from grid-tied PV alone (info only)</t>
  </si>
  <si>
    <t xml:space="preserve">% of outage</t>
  </si>
  <si>
    <t xml:space="preserve">Grid-tied PV without a battery shuts down in an outage; the Ghana anti-islanding clause itself was not verified.</t>
  </si>
  <si>
    <t xml:space="preserve">IEA policy database</t>
  </si>
  <si>
    <t xml:space="preserve">https://www.iea.org/policies/5646-net-metering-code</t>
  </si>
  <si>
    <t xml:space="preserve">only renewable energy generators with capacity up to 200 kW</t>
  </si>
  <si>
    <t xml:space="preserve">M01a</t>
  </si>
  <si>
    <t xml:space="preserve">8 Diversification</t>
  </si>
  <si>
    <t xml:space="preserve">Mango butter yield, own screw press</t>
  </si>
  <si>
    <t xml:space="preserve">kg/t dry kernel</t>
  </si>
  <si>
    <t xml:space="preserve">10% fat × 53% press recovery = 53 kg/t. Solvent toll extraction reaches ~90–95% recovery.</t>
  </si>
  <si>
    <t xml:space="preserve">Muchiri et al. 2012</t>
  </si>
  <si>
    <t xml:space="preserve">https://link.springer.com/article/10.1007/s11746-012-2054-6</t>
  </si>
  <si>
    <t xml:space="preserve">fat content … varied from 8.5 to 10.4 %</t>
  </si>
  <si>
    <t xml:space="preserve">Barati et al. 2022</t>
  </si>
  <si>
    <t xml:space="preserve">https://www.tropentag.de/2022/abstracts/posters/179.pdf</t>
  </si>
  <si>
    <t xml:space="preserve">oil recovery was 52.7%</t>
  </si>
  <si>
    <t xml:space="preserve">M01b</t>
  </si>
  <si>
    <t xml:space="preserve">Mango butter yield, solvent toll extraction</t>
  </si>
  <si>
    <t xml:space="preserve">M02</t>
  </si>
  <si>
    <t xml:space="preserve">Mango butter price ex-factory</t>
  </si>
  <si>
    <t xml:space="preserve">Ghana supply must compete with Indian refined butter (~USD 5.9–7.8/kg at ₹95.8/USD).</t>
  </si>
  <si>
    <t xml:space="preserve">IndiaMART, Oct 2026</t>
  </si>
  <si>
    <t xml:space="preserve">https://m.indiamart.com/impcat/mango-butter.html</t>
  </si>
  <si>
    <t xml:space="preserve">Refined Mango Butter, Cosmetic Grade ₹565/kg</t>
  </si>
  <si>
    <t xml:space="preserve">95.8100</t>
  </si>
  <si>
    <t xml:space="preserve">M03</t>
  </si>
  <si>
    <t xml:space="preserve">Mango kernel cost</t>
  </si>
  <si>
    <t xml:space="preserve">Indian dried kernel ₹27–42/kg = USD 280–440/t at ₹95.8/USD. Ghanaian processor waste seeds are near-free at the gate; collection, de-husking and drying add cost.</t>
  </si>
  <si>
    <t xml:space="preserve">https://m.indiamart.com/impcat/mango-kernel.html</t>
  </si>
  <si>
    <t xml:space="preserve">₹27/kg Dried White Mango Kernel</t>
  </si>
  <si>
    <t xml:space="preserve">M04</t>
  </si>
  <si>
    <t xml:space="preserve">Processing cost, toll or own press</t>
  </si>
  <si>
    <t xml:space="preserve">USD/kg butter</t>
  </si>
  <si>
    <t xml:space="preserve">No toll fee found. Bottom-up: solvent extraction toll of ~USD 50–100 per t kernel at ~100 kg butter per t, plus refining, gives USD 1.0–3.0 per kg butter.</t>
  </si>
  <si>
    <t xml:space="preserve">M05</t>
  </si>
  <si>
    <t xml:space="preserve">Share of shea replaceable in formulations</t>
  </si>
  <si>
    <t xml:space="preserve">Mango butter and shea butter play the same role in formulations; 20% of shea volume replaceable without reformulating the main line is a reasoned base. Test in your products.</t>
  </si>
  <si>
    <t xml:space="preserve">M06</t>
  </si>
  <si>
    <t xml:space="preserve">Pilot volume</t>
  </si>
  <si>
    <t xml:space="preserve">t kernel/yr</t>
  </si>
  <si>
    <t xml:space="preserve">100 t of dry kernel needs roughly 600–1,500 t of fruit processed (seed 20–60%, kernel 45–75%, ~50% moisture). HPW alone sources from 1,700 farms, so 100 t is a realistic pilot from processors' waste seeds.</t>
  </si>
  <si>
    <t xml:space="preserve">Feedipedia (FAO)</t>
  </si>
  <si>
    <t xml:space="preserve">https://feedipedia.review.fao.org/node/516</t>
  </si>
  <si>
    <t xml:space="preserve">the seed represents from 20% to 60% of the whole fruit weight … the kernel … from 45% to 75% of the whole seed</t>
  </si>
  <si>
    <t xml:space="preserve">FreshPlaza 2025</t>
  </si>
  <si>
    <t xml:space="preserve">https://www.freshplaza.com/article/9744750/ghana-boosts-mango-supply-to-support-processing</t>
  </si>
  <si>
    <t xml:space="preserve">HPW Fresh and Dry … works with over 1,700 farms</t>
  </si>
  <si>
    <t xml:space="preserve">M07</t>
  </si>
  <si>
    <t xml:space="preserve">Coconut oil price (info only)</t>
  </si>
  <si>
    <t xml:space="preserve">Spot-checked. Prices have fallen ~16% since January 2026.</t>
  </si>
  <si>
    <t xml:space="preserve">World Bank Pink Sheet, Sep 2026</t>
  </si>
  <si>
    <t xml:space="preserve">https://thedocs.worldbank.org/en/doc/74e8be41ceb20fa0da750cda2f6b9e4e-0050012026/related/CMO-Pink-Sheet-September-2026.pdf</t>
  </si>
  <si>
    <t xml:space="preserve">Coconut oil … 1,979 1,924 1,853 (Jun–Aug 2026)</t>
  </si>
  <si>
    <t xml:space="preserve">M08</t>
  </si>
  <si>
    <t xml:space="preserve">Coconut disease loss in western districts (info only)</t>
  </si>
  <si>
    <t xml:space="preserve">% of plantings</t>
  </si>
  <si>
    <t xml:space="preserve">Cape Saint Paul Wilt Disease is a biological risk separate from climate. Figures date from 2008.</t>
  </si>
  <si>
    <t xml:space="preserve">OCL 2009</t>
  </si>
  <si>
    <t xml:space="preserve">https://www.ocl-journal.org/articles/ocl/pdf/2009/02/ocl2009162p111.pdf</t>
  </si>
  <si>
    <t xml:space="preserve">has lost about 70% of its coconut plantings … 90% loss</t>
  </si>
  <si>
    <t xml:space="preserve">F01</t>
  </si>
  <si>
    <t xml:space="preserve">9 Fire</t>
  </si>
  <si>
    <t xml:space="preserve">Community fire management</t>
  </si>
  <si>
    <t xml:space="preserve">USD/ha/yr</t>
  </si>
  <si>
    <t xml:space="preserve">Landscape fire management ~USD 0.40/ha/yr; both fire activities ~1.0; intensive plantation protection ~5.5. Spot-checked.</t>
  </si>
  <si>
    <t xml:space="preserve">UNDP page says 200,000 ha; GCF documents say 220,000 ha.</t>
  </si>
  <si>
    <t xml:space="preserve">GCF GSLERP interim evaluation, Apr 2025</t>
  </si>
  <si>
    <t xml:space="preserve">https://www.greenclimate.fund/sites/default/files/document/fp137-interim-evaluation-report-pub.pdf</t>
  </si>
  <si>
    <t xml:space="preserve">Activity 1.4 … $612,793 … 220,000 ha</t>
  </si>
  <si>
    <t xml:space="preserve">GCF GSLERP 2025 report</t>
  </si>
  <si>
    <t xml:space="preserve">https://www.greenclimate.fund/sites/default/files/documents/2026-10/gcf-fp137-apr-2025-v1.pdf</t>
  </si>
  <si>
    <t xml:space="preserve">Activity 3.3 Allocated: $983,090</t>
  </si>
  <si>
    <t xml:space="preserve">F02</t>
  </si>
  <si>
    <t xml:space="preserve">Equipment and training</t>
  </si>
  <si>
    <t xml:space="preserve">~USD 2,250 per brigade from GSLERP budgets; 5–15 communities.</t>
  </si>
  <si>
    <t xml:space="preserve">437 fire brigades were trained and equipped</t>
  </si>
  <si>
    <t xml:space="preserve">F03</t>
  </si>
  <si>
    <t xml:space="preserve">Coverage of sourcing area</t>
  </si>
  <si>
    <t xml:space="preserve">Landscape programmes reach a small share of the zone; 75% is optimistic.</t>
  </si>
  <si>
    <t xml:space="preserve">UNDP GSLERP</t>
  </si>
  <si>
    <t xml:space="preserve">https://www.undp.org/ghana/projects/ghana-shea-landscapes-emission-reductions-project-gslerp</t>
  </si>
  <si>
    <t xml:space="preserve">Fire management coverage: 200,000 hectares</t>
  </si>
  <si>
    <t xml:space="preserve">F04</t>
  </si>
  <si>
    <t xml:space="preserve">Fire loss cut in managed area</t>
  </si>
  <si>
    <t xml:space="preserve">No measured burned-area reduction found, even in GSLERP's evaluation.</t>
  </si>
  <si>
    <t xml:space="preserve">significantly reduced plantation losses (no figure)</t>
  </si>
  <si>
    <t xml:space="preserve">F05</t>
  </si>
  <si>
    <t xml:space="preserve">Capped at F04 × fire share of tree loss.</t>
  </si>
  <si>
    <t xml:space="preserve">GCF FP137 proposal</t>
  </si>
  <si>
    <t xml:space="preserve">https://www.greenclimate.fund/sites/default/files/document/gcf-b26-02-add09.pdf</t>
  </si>
  <si>
    <t xml:space="preserve">Intense late dry season fires injure, or even kill, shea</t>
  </si>
  <si>
    <t xml:space="preserve">F06</t>
  </si>
  <si>
    <t xml:space="preserve">Trees per hectare in parkland</t>
  </si>
  <si>
    <t xml:space="preserve">trees/ha</t>
  </si>
  <si>
    <t xml:space="preserve">Measured shea parkland densities of 12–43 trees/ha in southern Burkina Faso; Ghana parklands are similar Guinea-savanna systems.</t>
  </si>
  <si>
    <t xml:space="preserve">FAO, Boffa 1999 (southern Burkina Faso)</t>
  </si>
  <si>
    <t xml:space="preserve">https://www.fao.org/4/X3940E/X3940E04.htm</t>
  </si>
  <si>
    <t xml:space="preserve">densities of 12 and 30 trees/ha … 43 trees/ha</t>
  </si>
  <si>
    <t xml:space="preserve">N01</t>
  </si>
  <si>
    <t xml:space="preserve">10 Insurance</t>
  </si>
  <si>
    <t xml:space="preserve">Property premium incl. flood</t>
  </si>
  <si>
    <t xml:space="preserve">% of sum insured</t>
  </si>
  <si>
    <t xml:space="preserve">Dated (2014) but the only Ghana figure found. Get a broker quote.</t>
  </si>
  <si>
    <t xml:space="preserve">Graphic, Sep 2014</t>
  </si>
  <si>
    <t xml:space="preserve">https://graphic.com.gh/business/business-news/insuring-commercial-property-what-is-missing.html</t>
  </si>
  <si>
    <t xml:space="preserve">ranging from 0.185% to 0.3%</t>
  </si>
  <si>
    <t xml:space="preserve">Hollard Ghana fire policy</t>
  </si>
  <si>
    <t xml:space="preserve">https://www.hollard.com.gh/general/business-insurance/commercial-assets-insurance/fire-insurance</t>
  </si>
  <si>
    <t xml:space="preserve">floods … allied perils</t>
  </si>
  <si>
    <t xml:space="preserve">N02</t>
  </si>
  <si>
    <t xml:space="preserve">Business interruption premium</t>
  </si>
  <si>
    <t xml:space="preserve">% of insured gross profit</t>
  </si>
  <si>
    <t xml:space="preserve">No Ghana rate found. Business-interruption cover is commonly priced near the property rate applied to insured gross profit; range set around the 0.185–0.3% property rate.</t>
  </si>
  <si>
    <t xml:space="preserve">N03a</t>
  </si>
  <si>
    <t xml:space="preserve">Deductible, % of loss</t>
  </si>
  <si>
    <t xml:space="preserve">South African comparator; no Ghana wording could be read.</t>
  </si>
  <si>
    <t xml:space="preserve">Lombard/Hollard South Africa 2025</t>
  </si>
  <si>
    <t xml:space="preserve">https://www.lombardins.com/wp-content/uploads/2025/09/Hollard-Business-vs-Lombard-Commercial-Auto-Provisions-and-Excesses-Comparison_FINAL.pdf</t>
  </si>
  <si>
    <t xml:space="preserve">5% min R5 000, max R50 000</t>
  </si>
  <si>
    <t xml:space="preserve">N03b</t>
  </si>
  <si>
    <t xml:space="preserve">Deductible, minimum</t>
  </si>
  <si>
    <t xml:space="preserve">N04</t>
  </si>
  <si>
    <t xml:space="preserve">Share of loss actually recovered</t>
  </si>
  <si>
    <t xml:space="preserve">Under-insurance and the average clause reduce recoveries.</t>
  </si>
  <si>
    <t xml:space="preserve">Citi Newsroom, Aug 2025</t>
  </si>
  <si>
    <t xml:space="preserve">https://citinewsroom.com/2025/08/insurance-penetration-stalls-at-1-despite-density-gains/</t>
  </si>
  <si>
    <t xml:space="preserve">holding at 1.0%</t>
  </si>
  <si>
    <t xml:space="preserve">N05</t>
  </si>
  <si>
    <t xml:space="preserve">Building insurance in baseline (0 = no, 1 = yes)</t>
  </si>
  <si>
    <t xml:space="preserve">You chose a bare baseline (0). Set to 1 to put building insurance in the baseline: option 10 then drops out and flood works only save the loss insurance does not pay. Commercial buildings must be insured under Act 1061.</t>
  </si>
  <si>
    <t xml:space="preserve">The list of perils (collapse, fire, earthquake) comes from the repealed 2006 Act, not Act 1061.</t>
  </si>
  <si>
    <t xml:space="preserve">UKGCC on Insurance Act 2021 (Act 1061)</t>
  </si>
  <si>
    <t xml:space="preserve">https://ukgcc.com.gh/bfd_download/new-changes-from-ghanas-insurance-act-2021-act-1061</t>
  </si>
  <si>
    <t xml:space="preserve">requirement to undertake insurance for commercial buildings</t>
  </si>
  <si>
    <t xml:space="preserve">I08</t>
  </si>
  <si>
    <t xml:space="preserve">Dry-hole drilling cost</t>
  </si>
  <si>
    <t xml:space="preserve">USD/attempt</t>
  </si>
  <si>
    <t xml:space="preserve">Each working system needs ~1/success-rate attempts; failed holes are sunk cost. Low-weight source; get a driller's quote.</t>
  </si>
  <si>
    <t xml:space="preserve">OwnKey (commercial blog), Jul 2026</t>
  </si>
  <si>
    <t xml:space="preserve">https://ownkey.com/gh/blog/borehole-drilling-ghana-guide</t>
  </si>
  <si>
    <t xml:space="preserve">GH₵13,000 to GH₵35,000 total</t>
  </si>
  <si>
    <t xml:space="preserve">P01</t>
  </si>
  <si>
    <t xml:space="preserve">Programme</t>
  </si>
  <si>
    <t xml:space="preserve">Share of your supply from programme groups</t>
  </si>
  <si>
    <t xml:space="preserve">Loyalty effects (I05) apply only to suppliers the programme reaches.</t>
  </si>
  <si>
    <t xml:space="preserve">P02</t>
  </si>
  <si>
    <t xml:space="preserve">Grant co-funding of farm-side programmes</t>
  </si>
  <si>
    <t xml:space="preserve">GSLERP and GSA already fund fire management, planting and stoves; base 0% so co-funding is tested, not assumed.</t>
  </si>
  <si>
    <t xml:space="preserve">H10</t>
  </si>
  <si>
    <t xml:space="preserve">Average outage length</t>
  </si>
  <si>
    <t xml:space="preserve">Converts outage hours into outage events for spoilage costs.</t>
  </si>
  <si>
    <t xml:space="preserve">durations most often 0–2 h</t>
  </si>
  <si>
    <t xml:space="preserve">about 6 hours</t>
  </si>
  <si>
    <t xml:space="preserve">E12</t>
  </si>
  <si>
    <t xml:space="preserve">Inverter replacement (year 12)</t>
  </si>
  <si>
    <t xml:space="preserve">% of PV capex</t>
  </si>
  <si>
    <t xml:space="preserve">Inverters last ~10–15 years; no Ghana quote.</t>
  </si>
  <si>
    <t xml:space="preserve">E13</t>
  </si>
  <si>
    <t xml:space="preserve">Hybrid inverter and switchover for islanding</t>
  </si>
  <si>
    <t xml:space="preserve">Needed so the battery can run critical loads when the grid is down.</t>
  </si>
  <si>
    <t xml:space="preserve">E14</t>
  </si>
  <si>
    <t xml:space="preserve">Share of outage hours a 4-hour battery covers</t>
  </si>
  <si>
    <t xml:space="preserve">Most outages are short; long dumsor cuts exceed battery autonomy.</t>
  </si>
  <si>
    <t xml:space="preserve">E15</t>
  </si>
  <si>
    <t xml:space="preserve">Battery replacement (year 10)</t>
  </si>
  <si>
    <t xml:space="preserve">% of original cost</t>
  </si>
  <si>
    <t xml:space="preserve">Falling prices make the replacement cheaper than the first purchase.</t>
  </si>
  <si>
    <t xml:space="preserve">BNEF via Energy-Storage.news</t>
  </si>
  <si>
    <t xml:space="preserve">prices falling</t>
  </si>
  <si>
    <t xml:space="preserve">M09</t>
  </si>
  <si>
    <t xml:space="preserve">Kernel drying and handling setup</t>
  </si>
  <si>
    <t xml:space="preserve">Toll processing avoids buying a press; this covers drying, sorting and storage.</t>
  </si>
  <si>
    <t xml:space="preserve">G08</t>
  </si>
  <si>
    <t xml:space="preserve">Include carbon revenue (0 = no, 1 = yes)</t>
  </si>
  <si>
    <t xml:space="preserve">Carbon stays out of the base case until a buyer signs (your document's rule).</t>
  </si>
  <si>
    <t xml:space="preserve">G09</t>
  </si>
  <si>
    <t xml:space="preserve">Hazard scenario (1 Benign, 2 Base, 3 Stress)</t>
  </si>
  <si>
    <t xml:space="preserve">Sets the case for H01, H02, H04, H05, H06 and H08 together.</t>
  </si>
  <si>
    <t xml:space="preserve">G10</t>
  </si>
  <si>
    <t xml:space="preserve">Euro exchange rate (info only)</t>
  </si>
  <si>
    <t xml:space="preserve">USD/EUR</t>
  </si>
  <si>
    <t xml:space="preserve">Converts euro-priced sources.</t>
  </si>
  <si>
    <t xml:space="preserve">FRED DEXUSEU, 25 Sep 2026</t>
  </si>
  <si>
    <t xml:space="preserve">https://fred.stlouisfed.org/series/DEXUSEU</t>
  </si>
  <si>
    <t xml:space="preserve">1.1400</t>
  </si>
  <si>
    <t xml:space="preserve">G11</t>
  </si>
  <si>
    <t xml:space="preserve">Rupee exchange rate (info only)</t>
  </si>
  <si>
    <t xml:space="preserve">INR/USD</t>
  </si>
  <si>
    <t xml:space="preserve">Converts Indian price benchmarks; earlier work assumed ~88, which overstated USD values by ~9%.</t>
  </si>
  <si>
    <t xml:space="preserve">C11</t>
  </si>
  <si>
    <t xml:space="preserve">Margin basis (1 = bulk benchmark C03, 2 = from value chain)</t>
  </si>
  <si>
    <t xml:space="preserve">2 uses your own product economics from the Value chain sheet, blended with bulk sales by C12.</t>
  </si>
  <si>
    <t xml:space="preserve">C12</t>
  </si>
  <si>
    <t xml:space="preserve">Share of butter sold as finished retail products</t>
  </si>
  <si>
    <t xml:space="preserve">The rest is sold as refined bulk butter at the C03 margin. 30% of 200 t ≈ 355,000 jars a year.</t>
  </si>
  <si>
    <t xml:space="preserve">M10</t>
  </si>
  <si>
    <t xml:space="preserve">Mango route (1 = own press, 2 = solvent toll)</t>
  </si>
  <si>
    <t xml:space="preserve">Toll extraction avoids buying a press and roughly doubles yield.</t>
  </si>
  <si>
    <t xml:space="preserve">V01</t>
  </si>
  <si>
    <t xml:space="preserve">Value chain</t>
  </si>
  <si>
    <t xml:space="preserve">Amazon US retail price, 8 oz shea body butter</t>
  </si>
  <si>
    <t xml:space="preserve">USD/unit</t>
  </si>
  <si>
    <t xml:space="preserve">Typical price band for natural shea body butters on Amazon US; Amazon product pages cannot be opened automatically. Set to your listing price.</t>
  </si>
  <si>
    <t xml:space="preserve">V02</t>
  </si>
  <si>
    <t xml:space="preserve">Net product per unit</t>
  </si>
  <si>
    <t xml:space="preserve">g</t>
  </si>
  <si>
    <t xml:space="preserve">8 oz jar, a common size.</t>
  </si>
  <si>
    <t xml:space="preserve">V03</t>
  </si>
  <si>
    <t xml:space="preserve">Shea butter share of formula</t>
  </si>
  <si>
    <t xml:space="preserve">Whipped shea body butters run 50–100% shea.</t>
  </si>
  <si>
    <t xml:space="preserve">V04</t>
  </si>
  <si>
    <t xml:space="preserve">Refining loss, crude to refined</t>
  </si>
  <si>
    <t xml:space="preserve">Physical refining removes free fatty acids, moisture and impurities; loss rises with crude FFA (TCDA kernel spec allows 6–8% FFA).</t>
  </si>
  <si>
    <t xml:space="preserve">V05</t>
  </si>
  <si>
    <t xml:space="preserve">Other ingredients per unit</t>
  </si>
  <si>
    <t xml:space="preserve">Carrier oils, fragrance, preservative/antioxidant.</t>
  </si>
  <si>
    <t xml:space="preserve">V06</t>
  </si>
  <si>
    <t xml:space="preserve">Other ingredients imported</t>
  </si>
  <si>
    <t xml:space="preserve">Fragrances and preservatives are mostly imported.</t>
  </si>
  <si>
    <t xml:space="preserve">V07</t>
  </si>
  <si>
    <t xml:space="preserve">Packaging per unit (jar, lid, label, carton share)</t>
  </si>
  <si>
    <t xml:space="preserve">Cosmetic PET or glass jars with printed labels.</t>
  </si>
  <si>
    <t xml:space="preserve">V08</t>
  </si>
  <si>
    <t xml:space="preserve">Packaging imported</t>
  </si>
  <si>
    <t xml:space="preserve">Jars and lids are largely imported; labels and cartons can be local.</t>
  </si>
  <si>
    <t xml:space="preserve">V09</t>
  </si>
  <si>
    <t xml:space="preserve">Factory conversion (labour, energy, QA, overhead)</t>
  </si>
  <si>
    <t xml:space="preserve">Tema refining, filling and overheads per jar.</t>
  </si>
  <si>
    <t xml:space="preserve">V10</t>
  </si>
  <si>
    <t xml:space="preserve">Ghana port, handling and documents</t>
  </si>
  <si>
    <t xml:space="preserve">The factory is in Tema, so inland haulage to the port is minimal.</t>
  </si>
  <si>
    <t xml:space="preserve">V11</t>
  </si>
  <si>
    <t xml:space="preserve">Units per 40 ft container</t>
  </si>
  <si>
    <t xml:space="preserve">units</t>
  </si>
  <si>
    <t xml:space="preserve">~0.025 cu ft per jar plus cartons; weight (~16 t) stays under the limit.</t>
  </si>
  <si>
    <t xml:space="preserve">V12</t>
  </si>
  <si>
    <t xml:space="preserve">Ocean freight Tema → US East Coast, 40 ft</t>
  </si>
  <si>
    <t xml:space="preserve">USD/container</t>
  </si>
  <si>
    <t xml:space="preserve">No current rate could be opened; range spans recent West Africa–US Gulf/East Coast levels. Get a forwarder quote.</t>
  </si>
  <si>
    <t xml:space="preserve">V13</t>
  </si>
  <si>
    <t xml:space="preserve">US import duty: MFN rate (HTS 3304.99.50)</t>
  </si>
  <si>
    <t xml:space="preserve">Cosmetic preparations enter duty-free at the MFN rate.</t>
  </si>
  <si>
    <t xml:space="preserve">US ITC HTS search</t>
  </si>
  <si>
    <t xml:space="preserve">https://hts.usitc.gov/reststop/search?keyword=3304.99.50</t>
  </si>
  <si>
    <t xml:space="preserve">3304.99.50.00 … General (MFN) Rate of Duty: Free</t>
  </si>
  <si>
    <t xml:space="preserve">V14</t>
  </si>
  <si>
    <t xml:space="preserve">US additional tariff on Ghana goods</t>
  </si>
  <si>
    <t xml:space="preserve">IEEPA tariffs were struck down in Feb 2026; a 10% Section 122 tariff ran to 24 Jul 2026 and was replaced by Section 301 tariffs whose rate for Ghana could not be verified. AGOA preferences lapsed in Sep 2025.</t>
  </si>
  <si>
    <t xml:space="preserve">Wikipedia: Tariffs in the second Trump administration</t>
  </si>
  <si>
    <t xml:space="preserve">https://en.wikipedia.org/wiki/Tariffs_in_the_second_Trump_administration</t>
  </si>
  <si>
    <t xml:space="preserve">universal 10% tariff … until July 24, 2026, under Section 122 … new tariffs on July 24, 2026 … under Section 301</t>
  </si>
  <si>
    <t xml:space="preserve">Wikipedia: AGOA</t>
  </si>
  <si>
    <t xml:space="preserve">https://en.wikipedia.org/wiki/African_Growth_and_Opportunity_Act</t>
  </si>
  <si>
    <t xml:space="preserve">AGOA expired on 30 September 2025</t>
  </si>
  <si>
    <t xml:space="preserve">V15</t>
  </si>
  <si>
    <t xml:space="preserve">US broker, drayage, trucking to AWD</t>
  </si>
  <si>
    <t xml:space="preserve">Customs entry, port drayage and linehaul to an Amazon facility, spread over a container.</t>
  </si>
  <si>
    <t xml:space="preserve">V16</t>
  </si>
  <si>
    <t xml:space="preserve">AWD storage</t>
  </si>
  <si>
    <t xml:space="preserve">USD/cu ft/month</t>
  </si>
  <si>
    <t xml:space="preserve">Primary Amazon source; East Coast base rate.</t>
  </si>
  <si>
    <t xml:space="preserve">Amazon AWD pricing</t>
  </si>
  <si>
    <t xml:space="preserve">https://sell.amazon.com/programs/warehousing</t>
  </si>
  <si>
    <t xml:space="preserve">East Coast … Base $0.48 … West Coast Base $0.57</t>
  </si>
  <si>
    <t xml:space="preserve">V17</t>
  </si>
  <si>
    <t xml:space="preserve">Months stored in AWD</t>
  </si>
  <si>
    <t xml:space="preserve">months</t>
  </si>
  <si>
    <t xml:space="preserve">Buffer stock before replenishment into FBA.</t>
  </si>
  <si>
    <t xml:space="preserve">V18</t>
  </si>
  <si>
    <t xml:space="preserve">Volume per unit</t>
  </si>
  <si>
    <t xml:space="preserve">cu ft</t>
  </si>
  <si>
    <t xml:space="preserve">8 oz jar ~3.4 in diameter × 2.6 in, plus case share.</t>
  </si>
  <si>
    <t xml:space="preserve">V19</t>
  </si>
  <si>
    <t xml:space="preserve">Units per case</t>
  </si>
  <si>
    <t xml:space="preserve">AWD processing fees are charged per box.</t>
  </si>
  <si>
    <t xml:space="preserve">V20</t>
  </si>
  <si>
    <t xml:space="preserve">AWD processing, inbound + outbound</t>
  </si>
  <si>
    <t xml:space="preserve">USD/box</t>
  </si>
  <si>
    <t xml:space="preserve">Primary Amazon source.</t>
  </si>
  <si>
    <t xml:space="preserve">Inbound: $1.40/box … Outbound: $1.40/box</t>
  </si>
  <si>
    <t xml:space="preserve">V21</t>
  </si>
  <si>
    <t xml:space="preserve">AWD transportation to FBA</t>
  </si>
  <si>
    <t xml:space="preserve">USD/cu ft</t>
  </si>
  <si>
    <t xml:space="preserve">Primary Amazon source. AWD covers FBA inbound placement.</t>
  </si>
  <si>
    <t xml:space="preserve">Standard: $1.40/cu ft … Amazon Managed: $1.26/cu ft</t>
  </si>
  <si>
    <t xml:space="preserve">V22</t>
  </si>
  <si>
    <t xml:space="preserve">FBA fulfillment fee per unit</t>
  </si>
  <si>
    <t xml:space="preserve">Amazon's rate card could not be opened automatically. A ~0.8–1 lb large-standard item is roughly USD 4.5–6 per unit; confirm in Amazon's Revenue Calculator.</t>
  </si>
  <si>
    <t xml:space="preserve">Amazon FBA page</t>
  </si>
  <si>
    <t xml:space="preserve">https://sell.amazon.com/fulfillment-by-amazon</t>
  </si>
  <si>
    <t xml:space="preserve">based on the product's price, weight, and dimensions</t>
  </si>
  <si>
    <t xml:space="preserve">V23</t>
  </si>
  <si>
    <t xml:space="preserve">FBA monthly storage</t>
  </si>
  <si>
    <t xml:space="preserve">Off-peak vs peak (Oct–Dec) rates; rate card not opened this session.</t>
  </si>
  <si>
    <t xml:space="preserve">V24</t>
  </si>
  <si>
    <t xml:space="preserve">Amazon referral fee, Beauty (price &gt; USD 10)</t>
  </si>
  <si>
    <t xml:space="preserve">Primary Amazon source; the model applies 8% if the price is USD 10 or less.</t>
  </si>
  <si>
    <t xml:space="preserve">Amazon selling fees</t>
  </si>
  <si>
    <t xml:space="preserve">https://sell.amazon.com/pricing</t>
  </si>
  <si>
    <t xml:space="preserve">8% for products with a total sales price of $10.00 or less, and 15% for items … greater than $10.00</t>
  </si>
  <si>
    <t xml:space="preserve">V25</t>
  </si>
  <si>
    <t xml:space="preserve">Amazon advertising</t>
  </si>
  <si>
    <t xml:space="preserve">% of price</t>
  </si>
  <si>
    <t xml:space="preserve">Sponsored-product spend for a new beauty brand.</t>
  </si>
  <si>
    <t xml:space="preserve">V26</t>
  </si>
  <si>
    <t xml:space="preserve">Returns and damages</t>
  </si>
  <si>
    <t xml:space="preserve">Allowance for refunds and damaged units.</t>
  </si>
  <si>
    <t xml:space="preserve">V27</t>
  </si>
  <si>
    <t xml:space="preserve">Ghana retail price, same product</t>
  </si>
  <si>
    <t xml:space="preserve">Domestic shelf price including VAT.</t>
  </si>
  <si>
    <t xml:space="preserve">V28</t>
  </si>
  <si>
    <t xml:space="preserve">Retailer and distributor margin, Ghana</t>
  </si>
  <si>
    <t xml:space="preserve">Supermarket and pharmacy channel.</t>
  </si>
  <si>
    <t xml:space="preserve">V29</t>
  </si>
  <si>
    <t xml:space="preserve">VAT and levies rate on net price, domestic</t>
  </si>
  <si>
    <t xml:space="preserve">VAT plus health and education levies, charged on the net price; collected in Ghana. The model takes the tax share of the shelf price as rate ÷ (1 + rate).</t>
  </si>
  <si>
    <t xml:space="preserve">V30</t>
  </si>
  <si>
    <t xml:space="preserve">Domestic distribution cost</t>
  </si>
  <si>
    <t xml:space="preserve">Delivery to retailers in Accra and Kumasi.</t>
  </si>
  <si>
    <t xml:space="preserve">V31</t>
  </si>
  <si>
    <t xml:space="preserve">Amazon Professional plan</t>
  </si>
  <si>
    <t xml:space="preserve">USD/month</t>
  </si>
  <si>
    <t xml:space="preserve">$39.99 / month</t>
  </si>
  <si>
    <t xml:space="preserve">C13</t>
  </si>
  <si>
    <t xml:space="preserve">Butter yield from kernel</t>
  </si>
  <si>
    <t xml:space="preserve">Converts butter tonnes into kernel and sourcing area. Traditional extraction recovers less than mechanical.</t>
  </si>
  <si>
    <t xml:space="preserve">C14</t>
  </si>
  <si>
    <t xml:space="preserve">Operating days per year</t>
  </si>
  <si>
    <t xml:space="preserve">Converts annual margin into a daily margin for downtime losses.</t>
  </si>
  <si>
    <t xml:space="preserve">C15</t>
  </si>
  <si>
    <t xml:space="preserve">Refined bulk shea butter price</t>
  </si>
  <si>
    <t xml:space="preserve">Used for bulk sales revenue in the Value chain sheet.</t>
  </si>
  <si>
    <t xml:space="preserve">D09</t>
  </si>
  <si>
    <t xml:space="preserve">Downtime per flood with measures</t>
  </si>
  <si>
    <t xml:space="preserve">Clean-up and restart after a shallow residual flood.</t>
  </si>
  <si>
    <t xml:space="preserve">E16</t>
  </si>
  <si>
    <t xml:space="preserve">Battery usable fraction</t>
  </si>
  <si>
    <t xml:space="preserve">Sizing identity from your research document: nameplate = kW × h ÷ (usable × efficiency × end-of-life).</t>
  </si>
  <si>
    <t xml:space="preserve">E17</t>
  </si>
  <si>
    <t xml:space="preserve">Battery discharge efficiency</t>
  </si>
  <si>
    <t xml:space="preserve">Round-trip losses of LFP systems.</t>
  </si>
  <si>
    <t xml:space="preserve">E18</t>
  </si>
  <si>
    <t xml:space="preserve">Battery end-of-life capacity</t>
  </si>
  <si>
    <t xml:space="preserve">Capacity guaranteed at warranty end.</t>
  </si>
  <si>
    <t xml:space="preserve">E19</t>
  </si>
  <si>
    <t xml:space="preserve">Genset size per kW of critical load</t>
  </si>
  <si>
    <t xml:space="preserve">kVA/kW</t>
  </si>
  <si>
    <t xml:space="preserve">0.8 power factor plus 25% headroom for motor starting.</t>
  </si>
  <si>
    <t xml:space="preserve">E20</t>
  </si>
  <si>
    <t xml:space="preserve">Genset life</t>
  </si>
  <si>
    <t xml:space="preserve">Replaced once within 20 years.</t>
  </si>
  <si>
    <t xml:space="preserve">E21</t>
  </si>
  <si>
    <t xml:space="preserve">Genset O&amp;M</t>
  </si>
  <si>
    <t xml:space="preserve">Servicing, filters, oil.</t>
  </si>
  <si>
    <t xml:space="preserve">E22</t>
  </si>
  <si>
    <t xml:space="preserve">PV O&amp;M</t>
  </si>
  <si>
    <t xml:space="preserve">Cleaning (Harmattan dust), inspection, insurance.</t>
  </si>
  <si>
    <t xml:space="preserve">E23</t>
  </si>
  <si>
    <t xml:space="preserve">PV degradation</t>
  </si>
  <si>
    <t xml:space="preserve">Typical crystalline module degradation in hot climates.</t>
  </si>
  <si>
    <t xml:space="preserve">E24</t>
  </si>
  <si>
    <t xml:space="preserve">Battery O&amp;M</t>
  </si>
  <si>
    <t xml:space="preserve">Monitoring and cooling.</t>
  </si>
  <si>
    <t xml:space="preserve">A10</t>
  </si>
  <si>
    <t xml:space="preserve">Hives per apiary</t>
  </si>
  <si>
    <t xml:space="preserve">Study apiaries in Northern Ghana held about 10 hives each.</t>
  </si>
  <si>
    <t xml:space="preserve">Nasare et al. 2024</t>
  </si>
  <si>
    <t xml:space="preserve">Tree proximity to the apiary had a detectable effect on fruit set within a 500 m range</t>
  </si>
  <si>
    <t xml:space="preserve">A11</t>
  </si>
  <si>
    <t xml:space="preserve">Apiary effect radius</t>
  </si>
  <si>
    <t xml:space="preserve">km</t>
  </si>
  <si>
    <t xml:space="preserve">Area influenced per apiary = π × r².</t>
  </si>
  <si>
    <t xml:space="preserve">within a 500 m range of the apiary</t>
  </si>
  <si>
    <t xml:space="preserve">A12</t>
  </si>
  <si>
    <t xml:space="preserve">Honey price, farm-gate</t>
  </si>
  <si>
    <t xml:space="preserve">GH₵70 ÷ 11.55 = USD 6.06. Spot-checked.</t>
  </si>
  <si>
    <t xml:space="preserve">70 cedis … per kilogram of extracted honey</t>
  </si>
  <si>
    <t xml:space="preserve">A13</t>
  </si>
  <si>
    <t xml:space="preserve">Hive life</t>
  </si>
  <si>
    <t xml:space="preserve">Hives are replaced on this cycle.</t>
  </si>
  <si>
    <t xml:space="preserve">S09</t>
  </si>
  <si>
    <t xml:space="preserve">Wood use with traditional stoves</t>
  </si>
  <si>
    <t xml:space="preserve">kg/kg butter</t>
  </si>
  <si>
    <t xml:space="preserve">Jasaw et al. 2015 measured 1.0–1.2 kg/kg in some villages, hence the low case.</t>
  </si>
  <si>
    <t xml:space="preserve">2.0 – 2.4 kg was used in local and semi-improved stoves</t>
  </si>
  <si>
    <t xml:space="preserve">I09</t>
  </si>
  <si>
    <t xml:space="preserve">Pump and controller replacement</t>
  </si>
  <si>
    <t xml:space="preserve">GH₵25–30k ÷ 11.55.</t>
  </si>
  <si>
    <t xml:space="preserve">between GHS 25,000 … and GHS 30,000</t>
  </si>
  <si>
    <t xml:space="preserve">I10</t>
  </si>
  <si>
    <t xml:space="preserve">Pump life</t>
  </si>
  <si>
    <t xml:space="preserve">Panels last 20–25 years; pumps are replaced on this cycle.</t>
  </si>
  <si>
    <t xml:space="preserve">B09</t>
  </si>
  <si>
    <t xml:space="preserve">Biochar CO₂e: carbon content check (info only)</t>
  </si>
  <si>
    <t xml:space="preserve">% C</t>
  </si>
  <si>
    <t xml:space="preserve">Information only; B07 already applies it.</t>
  </si>
  <si>
    <t xml:space="preserve">E25</t>
  </si>
  <si>
    <t xml:space="preserve">Genset rated load</t>
  </si>
  <si>
    <t xml:space="preserve">Base sizes the genset to critical loads like the battery; 65 kW covers average plant load (C08 ÷ operating hours), so production can continue in outages.</t>
  </si>
  <si>
    <t xml:space="preserve">E26</t>
  </si>
  <si>
    <t xml:space="preserve">Inverter replacement year</t>
  </si>
  <si>
    <t xml:space="preserve">year</t>
  </si>
  <si>
    <t xml:space="preserve">Inverters last 10–15 years.</t>
  </si>
  <si>
    <t xml:space="preserve">E27</t>
  </si>
  <si>
    <t xml:space="preserve">Battery replacement year</t>
  </si>
  <si>
    <t xml:space="preserve">LFP warranties typically run about 10 years.</t>
  </si>
  <si>
    <t xml:space="preserve">R10</t>
  </si>
  <si>
    <t xml:space="preserve">Aftercare years after planting</t>
  </si>
  <si>
    <t xml:space="preserve">Planting cost R02 is spread over planting year plus these years.</t>
  </si>
  <si>
    <t xml:space="preserve">R11</t>
  </si>
  <si>
    <t xml:space="preserve">Years for carbon uptake to reach full rate</t>
  </si>
  <si>
    <t xml:space="preserve">Young trees sequester slowly; uptake ramps up linearly.</t>
  </si>
  <si>
    <t xml:space="preserve">S10</t>
  </si>
  <si>
    <t xml:space="preserve">Credits per processing stove (sensitivity only)</t>
  </si>
  <si>
    <t xml:space="preserve">t CO₂/yr</t>
  </si>
  <si>
    <t xml:space="preserve">40% saving × 3.47 kg CO₂/kg × 4 t butter ≈ 5.6 t gross; conservative non-renewable-wood factors under ICVCM rules cut this to ~2.</t>
  </si>
  <si>
    <t xml:space="preserve">3.47 kgCO2/kg [butter]</t>
  </si>
  <si>
    <t xml:space="preserve">M11</t>
  </si>
  <si>
    <t xml:space="preserve">Mango pilot overhead (QA, logistics, marketing)</t>
  </si>
  <si>
    <t xml:space="preserve">Running cost of selling a second butter.</t>
  </si>
  <si>
    <t xml:space="preserve">V32</t>
  </si>
  <si>
    <t xml:space="preserve">Amazon referral fee, Beauty (price ≤ USD 10)</t>
  </si>
  <si>
    <t xml:space="preserve">8% for products with a total sales price of $10.00 or less</t>
  </si>
  <si>
    <t xml:space="preserve">R09</t>
  </si>
  <si>
    <t xml:space="preserve">Grafted seedlings planted per hectare</t>
  </si>
  <si>
    <t xml:space="preserve">Enrichment planting density used to convert seedlings into hectares for planting cost.</t>
  </si>
  <si>
    <t xml:space="preserve">Flood depth-damage curves, industrial buildings (JRC, Huizinga et al. 2017)</t>
  </si>
  <si>
    <t xml:space="preserve">Share of asset value damaged by depth. Africa curve = Low/Base; Global curve = High (switch H09). Source: os-climate/physrisk copy of JRC data, spot-checked.</t>
  </si>
  <si>
    <t xml:space="preserve">Depth (m)</t>
  </si>
  <si>
    <t xml:space="preserve">Africa industrial</t>
  </si>
  <si>
    <t xml:space="preserve">Global industrial</t>
  </si>
  <si>
    <t xml:space="preserve">Sources: https://raw.githubusercontent.com/os-climate/physrisk/main/docs/user_guide/vulnerability/vulnerability_functions/inundation_jrc/raw.csv</t>
  </si>
  <si>
    <t xml:space="preserve">Scenario values used for hazard inputs (Inputs column E = Benign, F = Base, G = Stress):</t>
  </si>
  <si>
    <t xml:space="preserve">Benign</t>
  </si>
  <si>
    <t xml:space="preserve">Stress</t>
  </si>
  <si>
    <t xml:space="preserve">Value chain: where the price of one jar goes, and how much stays in Ghana</t>
  </si>
  <si>
    <t xml:space="preserve">One 8 oz (227 g) shea body butter jar. Export channel = Amazon US via AWD and FBA; domestic channel = Ghana retail. Change the export share in Inputs G05.</t>
  </si>
  <si>
    <t xml:space="preserve">Crude butter per jar (kg)</t>
  </si>
  <si>
    <t xml:space="preserve">Channel</t>
  </si>
  <si>
    <t xml:space="preserve">Stays in Ghana</t>
  </si>
  <si>
    <t xml:space="preserve">Leaves Ghana</t>
  </si>
  <si>
    <t xml:space="preserve">Retail units per year</t>
  </si>
  <si>
    <t xml:space="preserve">Amazon US</t>
  </si>
  <si>
    <t xml:space="preserve">Amazon units per year</t>
  </si>
  <si>
    <t xml:space="preserve">Ghana retail</t>
  </si>
  <si>
    <t xml:space="preserve">Customs value per jar (FOB, at cost)</t>
  </si>
  <si>
    <t xml:space="preserve">Export channel: Amazon US</t>
  </si>
  <si>
    <t xml:space="preserve">USD per jar</t>
  </si>
  <si>
    <t xml:space="preserve">Share in Ghana</t>
  </si>
  <si>
    <t xml:space="preserve">Inputs used</t>
  </si>
  <si>
    <t xml:space="preserve">Crude shea butter (paid to women processors)</t>
  </si>
  <si>
    <t xml:space="preserve">C02, V02–V04</t>
  </si>
  <si>
    <t xml:space="preserve">Other ingredients</t>
  </si>
  <si>
    <t xml:space="preserve">V05, V06</t>
  </si>
  <si>
    <t xml:space="preserve">Packaging</t>
  </si>
  <si>
    <t xml:space="preserve">V07, V08</t>
  </si>
  <si>
    <t xml:space="preserve">Factory conversion in Tema</t>
  </si>
  <si>
    <t xml:space="preserve">Ghana port, handling, documents</t>
  </si>
  <si>
    <t xml:space="preserve">Ocean freight to US</t>
  </si>
  <si>
    <t xml:space="preserve">V11, V12</t>
  </si>
  <si>
    <t xml:space="preserve">US import duty and tariff</t>
  </si>
  <si>
    <t xml:space="preserve">V13, V14</t>
  </si>
  <si>
    <t xml:space="preserve">US broker, drayage, trucking</t>
  </si>
  <si>
    <t xml:space="preserve">Amazon AWD storage</t>
  </si>
  <si>
    <t xml:space="preserve">V16–V18</t>
  </si>
  <si>
    <t xml:space="preserve">Amazon AWD processing</t>
  </si>
  <si>
    <t xml:space="preserve">V19, V20</t>
  </si>
  <si>
    <t xml:space="preserve">Amazon AWD transport to FBA</t>
  </si>
  <si>
    <t xml:space="preserve">V18, V21</t>
  </si>
  <si>
    <t xml:space="preserve">Amazon FBA fulfillment fee</t>
  </si>
  <si>
    <t xml:space="preserve">Amazon FBA storage (1 month)</t>
  </si>
  <si>
    <t xml:space="preserve">V18, V23</t>
  </si>
  <si>
    <t xml:space="preserve">Amazon referral fee</t>
  </si>
  <si>
    <t xml:space="preserve">V01, V24</t>
  </si>
  <si>
    <t xml:space="preserve">Brand contribution margin (Ghanaian company)</t>
  </si>
  <si>
    <t xml:space="preserve">Free Zone: 0% tax years 1–10</t>
  </si>
  <si>
    <t xml:space="preserve">Retail price</t>
  </si>
  <si>
    <t xml:space="preserve">Share of the retail price that stays in Ghana</t>
  </si>
  <si>
    <t xml:space="preserve">Share captured by Amazon (fees, storage, ads, plan)</t>
  </si>
  <si>
    <t xml:space="preserve">Domestic channel: Ghana retail</t>
  </si>
  <si>
    <t xml:space="preserve">Domestic distribution</t>
  </si>
  <si>
    <t xml:space="preserve">Retailer and distributor margin</t>
  </si>
  <si>
    <t xml:space="preserve">VAT and levies</t>
  </si>
  <si>
    <t xml:space="preserve">Summary</t>
  </si>
  <si>
    <t xml:space="preserve">Measure</t>
  </si>
  <si>
    <t xml:space="preserve">Amazon</t>
  </si>
  <si>
    <t xml:space="preserve">Weighted by export share</t>
  </si>
  <si>
    <t xml:space="preserve">Notes</t>
  </si>
  <si>
    <t xml:space="preserve">Retail price per jar</t>
  </si>
  <si>
    <t xml:space="preserve">Stays in Ghana per jar</t>
  </si>
  <si>
    <t xml:space="preserve">Share of price staying in Ghana</t>
  </si>
  <si>
    <t xml:space="preserve">Value-weighted across channels</t>
  </si>
  <si>
    <t xml:space="preserve">Paid to women processors per jar</t>
  </si>
  <si>
    <t xml:space="preserve">Women processors' share of price</t>
  </si>
  <si>
    <t xml:space="preserve">Brand margin per jar</t>
  </si>
  <si>
    <t xml:space="preserve">Whole business per year (retail jars + bulk refined butter)</t>
  </si>
  <si>
    <t xml:space="preserve">USD per year</t>
  </si>
  <si>
    <t xml:space="preserve">Retail revenue</t>
  </si>
  <si>
    <t xml:space="preserve">C01 × C12 ÷ crude kg per jar × weighted price</t>
  </si>
  <si>
    <t xml:space="preserve">Retail revenue staying in Ghana</t>
  </si>
  <si>
    <t xml:space="preserve">Bulk refined butter revenue (FOB)</t>
  </si>
  <si>
    <t xml:space="preserve">Buyer pays freight; ~all stays in Ghana</t>
  </si>
  <si>
    <t xml:space="preserve">Total revenue</t>
  </si>
  <si>
    <t xml:space="preserve">Revenue staying in Ghana</t>
  </si>
  <si>
    <t xml:space="preserve">Share of total revenue staying in Ghana</t>
  </si>
  <si>
    <t xml:space="preserve">Contribution margin per t crude butter, retail</t>
  </si>
  <si>
    <t xml:space="preserve">Feeds C11 = 2</t>
  </si>
  <si>
    <t xml:space="preserve">Share of jar price staying in Ghana at different export shares (live)</t>
  </si>
  <si>
    <t xml:space="preserve">Export share</t>
  </si>
  <si>
    <t xml:space="preserve">Share staying in Ghana</t>
  </si>
  <si>
    <t xml:space="preserve">Base case (G05 = 85%)</t>
  </si>
  <si>
    <t xml:space="preserve">Derived quantities (formulas only)</t>
  </si>
  <si>
    <t xml:space="preserve">Quantity</t>
  </si>
  <si>
    <t xml:space="preserve">Name</t>
  </si>
  <si>
    <t xml:space="preserve">Value</t>
  </si>
  <si>
    <t xml:space="preserve">Formula logic</t>
  </si>
  <si>
    <t xml:space="preserve">Contribution margin per t crude butter, active</t>
  </si>
  <si>
    <t xml:space="preserve">c_margin</t>
  </si>
  <si>
    <t xml:space="preserve">C11 = 1 uses bulk benchmark C03; 2 blends value-chain margin (share C12) with bulk</t>
  </si>
  <si>
    <t xml:space="preserve">Value of one secured tonne of butter</t>
  </si>
  <si>
    <t xml:space="preserve">c_VST</t>
  </si>
  <si>
    <t xml:space="preserve">Replaceable share pays premium C04; unreplaceable share loses margin</t>
  </si>
  <si>
    <t xml:space="preserve">Kernel needed</t>
  </si>
  <si>
    <t xml:space="preserve">c_kernel</t>
  </si>
  <si>
    <t xml:space="preserve">t kernel per year</t>
  </si>
  <si>
    <t xml:space="preserve">Sourcing area</t>
  </si>
  <si>
    <t xml:space="preserve">c_catch</t>
  </si>
  <si>
    <t xml:space="preserve">ha = kernel kg ÷ (kg per tree × trees per ha)</t>
  </si>
  <si>
    <t xml:space="preserve">Annual contribution margin</t>
  </si>
  <si>
    <t xml:space="preserve">c_annual</t>
  </si>
  <si>
    <t xml:space="preserve">Daily contribution margin</t>
  </si>
  <si>
    <t xml:space="preserve">c_daily</t>
  </si>
  <si>
    <t xml:space="preserve">Hourly contribution margin</t>
  </si>
  <si>
    <t xml:space="preserve">c_hourly</t>
  </si>
  <si>
    <t xml:space="preserve">Outage hours inside operating shifts</t>
  </si>
  <si>
    <t xml:space="preserve">c_out_hrs</t>
  </si>
  <si>
    <t xml:space="preserve">Outages spread over the year; only those in shifts on operating days count</t>
  </si>
  <si>
    <t xml:space="preserve">Average plant load</t>
  </si>
  <si>
    <t xml:space="preserve">c_avg_kw</t>
  </si>
  <si>
    <t xml:space="preserve">Lost production margin from outages</t>
  </si>
  <si>
    <t xml:space="preserve">c_out_prod</t>
  </si>
  <si>
    <t xml:space="preserve">Spoilage and restart from outages</t>
  </si>
  <si>
    <t xml:space="preserve">c_out_spoil</t>
  </si>
  <si>
    <t xml:space="preserve">Baseline outage cost per year</t>
  </si>
  <si>
    <t xml:space="preserve">c_out_cost</t>
  </si>
  <si>
    <t xml:space="preserve">Lost margin not recovered + spoilage per outage event</t>
  </si>
  <si>
    <t xml:space="preserve">Outage cost avoided by battery</t>
  </si>
  <si>
    <t xml:space="preserve">c_bat_avoid</t>
  </si>
  <si>
    <t xml:space="preserve">Critical loads protected; production continues only in proportion to load covered</t>
  </si>
  <si>
    <t xml:space="preserve">Outage cost avoided by genset</t>
  </si>
  <si>
    <t xml:space="preserve">c_gen_avoid</t>
  </si>
  <si>
    <t xml:space="preserve">Outage cost as share of sales</t>
  </si>
  <si>
    <t xml:space="preserve">c_out_pct</t>
  </si>
  <si>
    <t xml:space="preserve">Check against 0–10% band reported by Ghanaian firms (WBES)</t>
  </si>
  <si>
    <t xml:space="preserve">Damage share at flood depth without measures</t>
  </si>
  <si>
    <t xml:space="preserve">c_D0</t>
  </si>
  <si>
    <t xml:space="preserve">Interpolated on Hazards curve</t>
  </si>
  <si>
    <t xml:space="preserve">Damage share at depth with measures</t>
  </si>
  <si>
    <t xml:space="preserve">c_D1</t>
  </si>
  <si>
    <t xml:space="preserve">Property loss per flood, without</t>
  </si>
  <si>
    <t xml:space="preserve">c_prop0</t>
  </si>
  <si>
    <t xml:space="preserve">Property loss per flood, with measures</t>
  </si>
  <si>
    <t xml:space="preserve">c_prop1</t>
  </si>
  <si>
    <t xml:space="preserve">Downtime loss per flood, without</t>
  </si>
  <si>
    <t xml:space="preserve">c_bi0</t>
  </si>
  <si>
    <t xml:space="preserve">Downtime loss per flood, with measures</t>
  </si>
  <si>
    <t xml:space="preserve">c_bi1</t>
  </si>
  <si>
    <t xml:space="preserve">Total loss per flood, without</t>
  </si>
  <si>
    <t xml:space="preserve">c_floss0</t>
  </si>
  <si>
    <t xml:space="preserve">Total loss per flood, with measures</t>
  </si>
  <si>
    <t xml:space="preserve">c_floss1</t>
  </si>
  <si>
    <t xml:space="preserve">Insurance recovery per flood, without works</t>
  </si>
  <si>
    <t xml:space="preserve">c_rec0</t>
  </si>
  <si>
    <t xml:space="preserve">After deductible and under-insurance</t>
  </si>
  <si>
    <t xml:space="preserve">Insurance recovery per flood, with works</t>
  </si>
  <si>
    <t xml:space="preserve">c_rec1</t>
  </si>
  <si>
    <t xml:space="preserve">Annual insurance premium</t>
  </si>
  <si>
    <t xml:space="preserve">c_premium</t>
  </si>
  <si>
    <t xml:space="preserve">Property incl. flood + business interruption on contribution margin</t>
  </si>
  <si>
    <t xml:space="preserve">Flood works capex</t>
  </si>
  <si>
    <t xml:space="preserve">c_flood_cap</t>
  </si>
  <si>
    <t xml:space="preserve">PV capex</t>
  </si>
  <si>
    <t xml:space="preserve">c_pv_cap</t>
  </si>
  <si>
    <t xml:space="preserve">Battery nameplate</t>
  </si>
  <si>
    <t xml:space="preserve">c_bat_kwh</t>
  </si>
  <si>
    <t xml:space="preserve">kWh</t>
  </si>
  <si>
    <t xml:space="preserve">Battery capex incl. islanding</t>
  </si>
  <si>
    <t xml:space="preserve">c_bat_cap</t>
  </si>
  <si>
    <t xml:space="preserve">Genset size</t>
  </si>
  <si>
    <t xml:space="preserve">c_gen_kva</t>
  </si>
  <si>
    <t xml:space="preserve">kVA</t>
  </si>
  <si>
    <t xml:space="preserve">Genset capex</t>
  </si>
  <si>
    <t xml:space="preserve">c_gen_cap</t>
  </si>
  <si>
    <t xml:space="preserve">Genset fuel per year</t>
  </si>
  <si>
    <t xml:space="preserve">c_gen_fuel</t>
  </si>
  <si>
    <t xml:space="preserve">Irrigation capex incl. dry holes</t>
  </si>
  <si>
    <t xml:space="preserve">c_irr_cap</t>
  </si>
  <si>
    <t xml:space="preserve">Apiary share of sourcing area</t>
  </si>
  <si>
    <t xml:space="preserve">c_api_share</t>
  </si>
  <si>
    <t xml:space="preserve">Apiaries × π r² (km² → ha) ÷ sourcing area</t>
  </si>
  <si>
    <t xml:space="preserve">Beeswax harvested</t>
  </si>
  <si>
    <t xml:space="preserve">c_wax</t>
  </si>
  <si>
    <t xml:space="preserve">kg per year</t>
  </si>
  <si>
    <t xml:space="preserve">Regeneration area planted</t>
  </si>
  <si>
    <t xml:space="preserve">c_regen_ha</t>
  </si>
  <si>
    <t xml:space="preserve">ha</t>
  </si>
  <si>
    <t xml:space="preserve">Share of supply served by stoves</t>
  </si>
  <si>
    <t xml:space="preserve">c_stove_served</t>
  </si>
  <si>
    <t xml:space="preserve">Biochar produced</t>
  </si>
  <si>
    <t xml:space="preserve">c_char</t>
  </si>
  <si>
    <t xml:space="preserve">t per year</t>
  </si>
  <si>
    <t xml:space="preserve">Mango butter yield, active route</t>
  </si>
  <si>
    <t xml:space="preserve">c_mango_yield</t>
  </si>
  <si>
    <t xml:space="preserve">kg per t kernel</t>
  </si>
  <si>
    <t xml:space="preserve">Mango butter produced</t>
  </si>
  <si>
    <t xml:space="preserve">c_mango_t</t>
  </si>
  <si>
    <t xml:space="preserve">Mango pilot margin per year</t>
  </si>
  <si>
    <t xml:space="preserve">c_mango_margin</t>
  </si>
  <si>
    <t xml:space="preserve">Before overhead M11</t>
  </si>
  <si>
    <t xml:space="preserve">Mango margin per t</t>
  </si>
  <si>
    <t xml:space="preserve">c_mango_mpt</t>
  </si>
  <si>
    <t xml:space="preserve">Mango substituted for shea in a poor year</t>
  </si>
  <si>
    <t xml:space="preserve">c_sub_t</t>
  </si>
  <si>
    <t xml:space="preserve">t; capped by mango output and formulation limit, scaled by correlation</t>
  </si>
  <si>
    <t xml:space="preserve">Supply model: tonnes of crude butter and the value of supply lost (USD)</t>
  </si>
  <si>
    <t xml:space="preserve">Loss each year = (structural deficit + poor-year shortfall) × value of a secured tonne. Options cut the decline rate d, cut the poor-year loss (reduction), or add new supply.</t>
  </si>
  <si>
    <t xml:space="preserve">Year</t>
  </si>
  <si>
    <t xml:space="preserve">Baseline (no options)</t>
  </si>
  <si>
    <t xml:space="preserve">Supply available (t butter)</t>
  </si>
  <si>
    <t xml:space="preserve">Value of supply lost (USD)</t>
  </si>
  <si>
    <t xml:space="preserve">1 Solar irrigation</t>
  </si>
  <si>
    <t xml:space="preserve">Decline rate d</t>
  </si>
  <si>
    <t xml:space="preserve">Poor-year loss reduction</t>
  </si>
  <si>
    <t xml:space="preserve">New supply added (t butter)</t>
  </si>
  <si>
    <t xml:space="preserve">Supply benefit vs baseline (USD)</t>
  </si>
  <si>
    <t xml:space="preserve">5 Processing stoves</t>
  </si>
  <si>
    <t xml:space="preserve">8 Mango substitution hedge</t>
  </si>
  <si>
    <t xml:space="preserve">9 Fire management</t>
  </si>
  <si>
    <t xml:space="preserve">Portfolio (selected options combined)</t>
  </si>
  <si>
    <t xml:space="preserve">Factory cash flows by option (USD, constant 2026 dollars)</t>
  </si>
  <si>
    <t xml:space="preserve">FCF = (supply benefit + other benefit − opex) − capex − tax, set to zero after the option's horizon. Free Zone tax: 0% to year G04a, then export/domestic blend.</t>
  </si>
  <si>
    <t xml:space="preserve">NPV / total</t>
  </si>
  <si>
    <t xml:space="preserve">Tax rate</t>
  </si>
  <si>
    <t xml:space="preserve">Discount factor</t>
  </si>
  <si>
    <t xml:space="preserve">1 Solar irrigation (nurseries + gardens)</t>
  </si>
  <si>
    <t xml:space="preserve">Horizon</t>
  </si>
  <si>
    <t xml:space="preserve">  Active (1 = within horizon)</t>
  </si>
  <si>
    <t xml:space="preserve">  Capex</t>
  </si>
  <si>
    <t xml:space="preserve">  Supply benefit</t>
  </si>
  <si>
    <t xml:space="preserve">  Other benefit</t>
  </si>
  <si>
    <t xml:space="preserve">  Opex</t>
  </si>
  <si>
    <t xml:space="preserve">  Operating flow</t>
  </si>
  <si>
    <t xml:space="preserve">  Tax</t>
  </si>
  <si>
    <t xml:space="preserve">  Free cash flow</t>
  </si>
  <si>
    <t xml:space="preserve">  Supplier income (supplier account)</t>
  </si>
  <si>
    <t xml:space="preserve">  PV of supply benefit (pre-tax)</t>
  </si>
  <si>
    <t xml:space="preserve">3 Regeneration &amp; agroforestry</t>
  </si>
  <si>
    <t xml:space="preserve">4 Biochar at village processing centres</t>
  </si>
  <si>
    <t xml:space="preserve">5 Processing stoves for butter suppliers</t>
  </si>
  <si>
    <t xml:space="preserve">6 Flood drainage, detention, plinths</t>
  </si>
  <si>
    <t xml:space="preserve">7a Solar PV, grid-tied</t>
  </si>
  <si>
    <t xml:space="preserve">7b Battery + islanding (critical loads)</t>
  </si>
  <si>
    <t xml:space="preserve">7c Solar PPA (no capex)</t>
  </si>
  <si>
    <t xml:space="preserve">7d Diesel genset (comparator)</t>
  </si>
  <si>
    <t xml:space="preserve">8 Mango toll pilot (substitution hedge)</t>
  </si>
  <si>
    <t xml:space="preserve">9 Community fire management</t>
  </si>
  <si>
    <t xml:space="preserve">10 Insurance: property incl. flood + BI</t>
  </si>
  <si>
    <t xml:space="preserve">Portfolio: switch options on (1) or off (0); costs counted once, overlapping benefits combined</t>
  </si>
  <si>
    <t xml:space="preserve">Supply effects combine as 1 − Π(1 − r). Interactions: flood works lower insurance recoveries; battery adds nothing if the genset is also on; PPA and owned PV are alternatives. Horizon = G02a for all.</t>
  </si>
  <si>
    <t xml:space="preserve">Option</t>
  </si>
  <si>
    <t xml:space="preserve">Include (1/0)</t>
  </si>
  <si>
    <t xml:space="preserve">1</t>
  </si>
  <si>
    <t xml:space="preserve">Portfolio factory NPV</t>
  </si>
  <si>
    <t xml:space="preserve">2</t>
  </si>
  <si>
    <t xml:space="preserve">Portfolio capex (PV)</t>
  </si>
  <si>
    <t xml:space="preserve">3</t>
  </si>
  <si>
    <t xml:space="preserve">Portfolio NPV incl. supplier income</t>
  </si>
  <si>
    <t xml:space="preserve">4</t>
  </si>
  <si>
    <t xml:space="preserve">5</t>
  </si>
  <si>
    <t xml:space="preserve">6</t>
  </si>
  <si>
    <t xml:space="preserve">7a</t>
  </si>
  <si>
    <t xml:space="preserve">7b</t>
  </si>
  <si>
    <t xml:space="preserve">7c</t>
  </si>
  <si>
    <t xml:space="preserve">7d</t>
  </si>
  <si>
    <t xml:space="preserve">8</t>
  </si>
  <si>
    <t xml:space="preserve">9</t>
  </si>
  <si>
    <t xml:space="preserve">10</t>
  </si>
  <si>
    <t xml:space="preserve">Active</t>
  </si>
  <si>
    <t xml:space="preserve">Capex</t>
  </si>
  <si>
    <t xml:space="preserve">Supply benefit, combined</t>
  </si>
  <si>
    <t xml:space="preserve">Other benefit</t>
  </si>
  <si>
    <t xml:space="preserve">Interaction: flood works reduce insurance recoveries</t>
  </si>
  <si>
    <t xml:space="preserve">Interaction: battery redundant when genset is on</t>
  </si>
  <si>
    <t xml:space="preserve">Interaction: PPA and owned PV are alternatives</t>
  </si>
  <si>
    <t xml:space="preserve">Opex</t>
  </si>
  <si>
    <t xml:space="preserve">Operating flow</t>
  </si>
  <si>
    <t xml:space="preserve">Free cash flow</t>
  </si>
  <si>
    <t xml:space="preserve">Supplier income</t>
  </si>
  <si>
    <t xml:space="preserve">Results: factory NPV, supplier income and break-even by option</t>
  </si>
  <si>
    <t xml:space="preserve">Factory NPV</t>
  </si>
  <si>
    <t xml:space="preserve">Capex (PV)</t>
  </si>
  <si>
    <t xml:space="preserve">Supplier income PV</t>
  </si>
  <si>
    <t xml:space="preserve">Factory + supplier NPV</t>
  </si>
  <si>
    <t xml:space="preserve">PV supply benefit</t>
  </si>
  <si>
    <t xml:space="preserve">Break-even value of a secured tonne</t>
  </si>
  <si>
    <t xml:space="preserve">Rank</t>
  </si>
  <si>
    <t xml:space="preserve">Reading</t>
  </si>
  <si>
    <t xml:space="preserve">Selected portfolio (Portfolio sheet)</t>
  </si>
  <si>
    <t xml:space="preserve">Break-even multiple: how many times more a secured tonne must be worth for the option to break even (approximate; ignores tax after the holiday).</t>
  </si>
  <si>
    <t xml:space="preserve">Key quantities</t>
  </si>
  <si>
    <t xml:space="preserve">Margin per t crude butter</t>
  </si>
  <si>
    <t xml:space="preserve">Value of a secured tonne</t>
  </si>
  <si>
    <t xml:space="preserve">Baseline supply loss, year 1</t>
  </si>
  <si>
    <t xml:space="preserve">Sourcing area (ha)</t>
  </si>
  <si>
    <t xml:space="preserve">Loss per flood without measures</t>
  </si>
  <si>
    <t xml:space="preserve">Expected flood loss per year</t>
  </si>
  <si>
    <t xml:space="preserve">Share of jar price staying in Ghana (weighted)</t>
  </si>
  <si>
    <t xml:space="preserve">Retail jars per year</t>
  </si>
  <si>
    <t xml:space="preserve">Total revenue per year</t>
  </si>
  <si>
    <t xml:space="preserve">Model checks</t>
  </si>
  <si>
    <t xml:space="preserve">Check</t>
  </si>
  <si>
    <t xml:space="preserve">Status</t>
  </si>
  <si>
    <t xml:space="preserve">What it guards against</t>
  </si>
  <si>
    <t xml:space="preserve">Outage cost within 0–10% of sales</t>
  </si>
  <si>
    <t xml:space="preserve">Outage losses out of line with what Ghanaian firms report (WBES 2023)</t>
  </si>
  <si>
    <t xml:space="preserve">Insurance recovery ≤ flood loss</t>
  </si>
  <si>
    <t xml:space="preserve">Recovering more than the loss</t>
  </si>
  <si>
    <t xml:space="preserve">All shares between 0 and 1</t>
  </si>
  <si>
    <t xml:space="preserve">A percentage input outside 0–100%</t>
  </si>
  <si>
    <t xml:space="preserve">Decline rate stays ≥ 0 with options</t>
  </si>
  <si>
    <t xml:space="preserve">Options cutting tree loss below zero</t>
  </si>
  <si>
    <t xml:space="preserve">Brand margin per Amazon jar is positive</t>
  </si>
  <si>
    <t xml:space="preserve">Amazon channel losing money per jar</t>
  </si>
  <si>
    <t xml:space="preserve">Value chain sums to retail price</t>
  </si>
  <si>
    <t xml:space="preserve">Missing or double-counted cost lines</t>
  </si>
  <si>
    <t xml:space="preserve">PV output ≤ factory electricity use</t>
  </si>
  <si>
    <t xml:space="preserve">Counting exported solar as savings</t>
  </si>
  <si>
    <t xml:space="preserve">Battery and genset not both counted</t>
  </si>
  <si>
    <t xml:space="preserve">Double-counting outage protection</t>
  </si>
  <si>
    <t xml:space="preserve">Portfolio with nothing selected returns zero</t>
  </si>
  <si>
    <t xml:space="preserve">Engine produces value from nothing</t>
  </si>
  <si>
    <t xml:space="preserve">Carbon off in base case</t>
  </si>
  <si>
    <t xml:space="preserve">Counting unsigned carbon revenue</t>
  </si>
  <si>
    <t xml:space="preserve">Decision gates: evidence each option must show before scaling</t>
  </si>
  <si>
    <t xml:space="preserve">Gate before scaling</t>
  </si>
  <si>
    <t xml:space="preserve">Inputs it replaces</t>
  </si>
  <si>
    <t xml:space="preserve">Topographic survey and flood-map depth; working outfall</t>
  </si>
  <si>
    <t xml:space="preserve">H05, H06, D07</t>
  </si>
  <si>
    <t xml:space="preserve">Open</t>
  </si>
  <si>
    <t xml:space="preserve">7b/7d Backup power</t>
  </si>
  <si>
    <t xml:space="preserve">12-month load and outage log; genset and battery quotes</t>
  </si>
  <si>
    <t xml:space="preserve">E06a, E07, E10, H08, H10</t>
  </si>
  <si>
    <t xml:space="preserve">Broker quotes for property with flood and business interruption</t>
  </si>
  <si>
    <t xml:space="preserve">N01–N04</t>
  </si>
  <si>
    <t xml:space="preserve">Fuel tests in suppliers' centres; continued use after 6 months</t>
  </si>
  <si>
    <t xml:space="preserve">S01, S02, S07, S09</t>
  </si>
  <si>
    <t xml:space="preserve">Community agreements; burned-area monitoring</t>
  </si>
  <si>
    <t xml:space="preserve">F03, F04, F06</t>
  </si>
  <si>
    <t xml:space="preserve">Occupied colonies; accepted wax batches; wax quote</t>
  </si>
  <si>
    <t xml:space="preserve">A04, A09</t>
  </si>
  <si>
    <t xml:space="preserve">Land and collector rights; survival through two dry seasons</t>
  </si>
  <si>
    <t xml:space="preserve">R03, R06</t>
  </si>
  <si>
    <t xml:space="preserve">Drought-season water yield; Water Resources Commission authorization</t>
  </si>
  <si>
    <t xml:space="preserve">I02, I04</t>
  </si>
  <si>
    <t xml:space="preserve">Lab test of cake char; signed credit buyer</t>
  </si>
  <si>
    <t xml:space="preserve">B02, B06, B07</t>
  </si>
  <si>
    <t xml:space="preserve">Toll yield trial; formulation tests; processor seed volumes</t>
  </si>
  <si>
    <t xml:space="preserve">M01b, M04, M05, M06</t>
  </si>
  <si>
    <t xml:space="preserve">Amazon Revenue Calculator for your jar; forwarder freight quote; current US tariff on Ghana</t>
  </si>
  <si>
    <t xml:space="preserve">V12, V14, V22, V23</t>
  </si>
  <si>
    <t xml:space="preserve">Source audit: errors found in earlier sources, and the independent spot-check</t>
  </si>
  <si>
    <t xml:space="preserve">Source</t>
  </si>
  <si>
    <t xml:space="preserve">Problem found and how the model handles it</t>
  </si>
  <si>
    <t xml:space="preserve">Affects</t>
  </si>
  <si>
    <t xml:space="preserve">Fire Ecology 2023 (Dahan, Kasei &amp; Husseini)</t>
  </si>
  <si>
    <t xml:space="preserve">Cited as 'Husseini et al.'; '825 km²/yr' is the 2018 value ÷ 24, '19,811 km²' exceeds the study area, '60%' is a share between two zones. None used.</t>
  </si>
  <si>
    <t xml:space="preserve">'9.4 million shea trees in Ghana'</t>
  </si>
  <si>
    <t xml:space="preserve">Same sentence says they yield 100 t of nuts against 130,000–150,000 t collected. Dropped.</t>
  </si>
  <si>
    <t xml:space="preserve">UN-REDD '77% loss'</t>
  </si>
  <si>
    <t xml:space="preserve">Forest cover, not shea trees; conflicts with 40% elsewhere. Dropped.</t>
  </si>
  <si>
    <t xml:space="preserve">UNDP 70% survival</t>
  </si>
  <si>
    <t xml:space="preserve">A project target, not a result.</t>
  </si>
  <si>
    <t xml:space="preserve">Darwin Initiative DAR30001</t>
  </si>
  <si>
    <t xml:space="preserve">Eastern Region, mixed species, under one year; no burned-area comparison.</t>
  </si>
  <si>
    <t xml:space="preserve">R03, A07</t>
  </si>
  <si>
    <t xml:space="preserve">OCL '5 kg kernel per tree'</t>
  </si>
  <si>
    <t xml:space="preserve">An assumption used for a regional total; measured parkland mean ~4 kg.</t>
  </si>
  <si>
    <t xml:space="preserve">Compares open vs bagged flowers, not hives vs none; cannot support an apiary yield gain.</t>
  </si>
  <si>
    <t xml:space="preserve">Hive cost GH₵750</t>
  </si>
  <si>
    <t xml:space="preserve">2017 price converted at 2026 exchange rate; understates cost ~2–2.5×.</t>
  </si>
  <si>
    <t xml:space="preserve">Swisscontact biochar</t>
  </si>
  <si>
    <t xml:space="preserve">Not about shea; its throughput implies a 52–137% char yield.</t>
  </si>
  <si>
    <t xml:space="preserve">Cogent Engineering 2024</t>
  </si>
  <si>
    <t xml:space="preserve">Shea shells, not cake; no char yield in the abstract.</t>
  </si>
  <si>
    <t xml:space="preserve">Puro.earth index page</t>
  </si>
  <si>
    <t xml:space="preserve">Stale (Nov 2024) and in euros.</t>
  </si>
  <si>
    <t xml:space="preserve">GSA stove tender</t>
  </si>
  <si>
    <t xml:space="preserve">No price, quantity or lifetime; baseline includes semi-improved stoves.</t>
  </si>
  <si>
    <t xml:space="preserve">S01, S02</t>
  </si>
  <si>
    <t xml:space="preserve">KsTU drain paper</t>
  </si>
  <si>
    <t xml:space="preserve">No unit length; earlier per-metre cost treated the height as length.</t>
  </si>
  <si>
    <t xml:space="preserve">Diesel price</t>
  </si>
  <si>
    <t xml:space="preserve">Used September price floor; October pump prices ~30% higher.</t>
  </si>
  <si>
    <t xml:space="preserve">AfSIA Daystar/Nexans</t>
  </si>
  <si>
    <t xml:space="preserve">'532 kWp … 47.7 MWh a year' is a typo (≈90 kWh/kWp).</t>
  </si>
  <si>
    <t xml:space="preserve">GSLERP fire area</t>
  </si>
  <si>
    <t xml:space="preserve">UNDP 200,000 ha vs GCF 220,000 ha; GCF used.</t>
  </si>
  <si>
    <t xml:space="preserve">Insurance Act</t>
  </si>
  <si>
    <t xml:space="preserve">Act 724 repealed by Act 1061 (2021); perils list belongs to the old Act.</t>
  </si>
  <si>
    <t xml:space="preserve">Rupee exchange rate</t>
  </si>
  <si>
    <t xml:space="preserve">Earlier work assumed ~₹88/USD; FRED shows ₹95.81 (Sep 2026).</t>
  </si>
  <si>
    <t xml:space="preserve">M02, M03, A09</t>
  </si>
  <si>
    <t xml:space="preserve">Uganda Investment Authority shea profile</t>
  </si>
  <si>
    <t xml:space="preserve">USD 85,000 for 2,000 t/yr is implausible. Not used.</t>
  </si>
  <si>
    <t xml:space="preserve">Independent spot-check (24 sources re-opened)</t>
  </si>
  <si>
    <t xml:space="preserve">Claim</t>
  </si>
  <si>
    <t xml:space="preserve">Exact text found</t>
  </si>
  <si>
    <t xml:space="preserve">URL</t>
  </si>
  <si>
    <t xml:space="preserve">PURC NR 301+ 224.0395; SLT-LV 240.2104; SLT-MV 208.6329 GHp/kWh; eff. 1 Jul 2026</t>
  </si>
  <si>
    <t xml:space="preserve">"301+ - (GHp/kWh) 224.0395"; SLT-LV "Energy Charge - (GHp/kWh) 240.2104"; SLT-MV "208.6329"; "1st July, 2026"</t>
  </si>
  <si>
    <t xml:space="preserve">MATCH</t>
  </si>
  <si>
    <t xml:space="preserve">Tema PVOUT ~1514 kWh/kWp</t>
  </si>
  <si>
    <t xml:space="preserve">PVOUT = 1514.36 kWh/kWp (annual)</t>
  </si>
  <si>
    <t xml:space="preserve">Diesel floor GH¢17.97/L Oct 2026; could reach GH¢19.60</t>
  </si>
  <si>
    <t xml:space="preserve">"floor for diesel has also increased from GH¢16.77 to GH¢17.97 per litre"; "potentially reaching GH¢19.60 per litre" (1 Oct 2026; 19.60 is a COMAC projection)</t>
  </si>
  <si>
    <t xml:space="preserve">GCF FP137 Act. 1.4 budget $612,793; 220,000 ha</t>
  </si>
  <si>
    <t xml:space="preserve">Activity 1.4 "Original Budget" $612,793.00 (remaining $399,592.63); "an additional 220,000 ha in which communities adopt improved fire management techniques" (target, not achieved)</t>
  </si>
  <si>
    <t xml:space="preserve">2,863 of 16,556 seedlings (17.3%) survived</t>
  </si>
  <si>
    <t xml:space="preserve">"out of a total sample of 16,556 planted seedlings 2,863 (17.3%) survived" (sample from Greater Accra, Ashanti, Northern sites)</t>
  </si>
  <si>
    <t xml:space="preserve">Shea kernel ~4 kg/tree parklands, ~1.5 kg natural</t>
  </si>
  <si>
    <t xml:space="preserve">"around 4 kg·tree–1" vs "close to 1.5 kg·tree–1"</t>
  </si>
  <si>
    <t xml:space="preserve">Apiary proximity → immature fruit set, not mature; 500 m</t>
  </si>
  <si>
    <t xml:space="preserve">"significantly related to number of immature fruit set but not number of mature fruits"; within 500 m</t>
  </si>
  <si>
    <t xml:space="preserve">Beeswax 80 cedis/kg, honey 70 cedis/kg, Tamale 2026</t>
  </si>
  <si>
    <t xml:space="preserve">"70 cedis (~$9 CDN) per kilogram of extracted honey"; beeswax "sold at 80 cedis/kg" (Sorigu/Yama centres, 2026 season)</t>
  </si>
  <si>
    <t xml:space="preserve">Dry-season tomato GM GHS 14,150/ha</t>
  </si>
  <si>
    <t xml:space="preserve">"Average gross margin after" GHS 14,150 per hectare (vs 4,555 before; FSRP-supported farmers)</t>
  </si>
  <si>
    <t xml:space="preserve">CORSIA cookstove ~USD 14.30; broad ~USD 4</t>
  </si>
  <si>
    <t xml:space="preserve">Text: "above USD 14 so far in 2026, compared to a broader clean-cooking average of around USD 4"; 14.30 appears only in chart ("Eligible average $14.30"). Article 6 May 2026; Dec-26 futures USD 13.10</t>
  </si>
  <si>
    <t xml:space="preserve">MATCH (chart)</t>
  </si>
  <si>
    <t xml:space="preserve">2.67 tCO2e/t biochar; 74% after 100 yrs</t>
  </si>
  <si>
    <t xml:space="preserve">"(1.00 t* 75% C * (100% - 3% margin) * 44/12 =) 2.67 t CO2e"; "100 years after soil application, 74% of the original carbon..." (assumes 75% C)</t>
  </si>
  <si>
    <t xml:space="preserve">Coconut oil Aug 2026 USD 1,853/mt</t>
  </si>
  <si>
    <t xml:space="preserve">Row: "Coconut oil $/mt ... 1,979 1,924 1,853" under June/July/August 2026 (first fetch misread 1,979 as Aug; re-verified with headers)</t>
  </si>
  <si>
    <t xml:space="preserve">Free zone: no CIT 10 yrs; then 15% exports, 25% domestic</t>
  </si>
  <si>
    <t xml:space="preserve">"do not pay CIT for the first ten years"; "CIT rate on export ... is 15%"; domestic "taxed at 25%"</t>
  </si>
  <si>
    <t xml:space="preserve">Ghana Caa1; spread 6.37%; CRP 9.71%; ERP 13.94%</t>
  </si>
  <si>
    <t xml:space="preserve">Caa1 / 6.37% / 9.71% / 13.94%; page "Last updated: January 5, 2026" (dated)</t>
  </si>
  <si>
    <t xml:space="preserve">DGS10 5.24 on 2026-10-01</t>
  </si>
  <si>
    <t xml:space="preserve">"2026-10-01: 5.24 Percent" (latest obs.)</t>
  </si>
  <si>
    <t xml:space="preserve">BNEF turnkey BESS US$117/kWh global avg</t>
  </si>
  <si>
    <t xml:space="preserve">"In 2025, the global average price of a turnkey ... BESS is US$117/kWh" (2025 survey, art. 16 Dec 2025)</t>
  </si>
  <si>
    <t xml:space="preserve">JRC Africa industrial 0.0627 @0.5 m, 0.2472 @1.0 m</t>
  </si>
  <si>
    <t xml:space="preserve">Africa_Mean: 0.062682043 (0.5 m), 0.247196046 (1 m), "Industrial buildings"</t>
  </si>
  <si>
    <t xml:space="preserve">Shea butter mechanical yield 37% w/w</t>
  </si>
  <si>
    <t xml:space="preserve">"The optimum 37% (w/w) yield of SB ... at 90oC and 20 min" (lab optimum, 150 g sample)</t>
  </si>
  <si>
    <t xml:space="preserve">Borehole success 40–60%, range 20–70%, Northern Region</t>
  </si>
  <si>
    <t xml:space="preserve">"typically between 40 and 60%, but range from 20% ... to around 70%"</t>
  </si>
  <si>
    <t xml:space="preserve">TCDA GH₵9.01/kg from 1 Jul 2025</t>
  </si>
  <si>
    <t xml:space="preserve">"GH₵9.01 per kilogram, or GH₵765.63 per 85-kilogram bag"; effective July 1, 2025 (2025 season, not 2026)</t>
  </si>
  <si>
    <t xml:space="preserve">Commercial buildings insured vs collapse, fire, earthquake under Act 1061</t>
  </si>
  <si>
    <t xml:space="preserve">Perils list is under old Act 724: "All commercial buildings were required to be insured against risk of collapse, fire, earthquake etc". For Act 1061 only: "There is the requirement to undertake insurance for commercial buildings."</t>
  </si>
  <si>
    <t xml:space="preserve">MISMATCH (attribution)</t>
  </si>
  <si>
    <t xml:space="preserve">Premiums 0.185%–0.3%</t>
  </si>
  <si>
    <t xml:space="preserve">"a negligible percentage of the total value of properties ranging from 0.185% to 0.3%"</t>
  </si>
  <si>
    <t xml:space="preserve">Refined shea butter Apr 2026: IN 5.99, NL 5.76, FR 4.70 USD/kg</t>
  </si>
  <si>
    <t xml:space="preserve">"5.99 USD / kg (480,228 kg)", "5.76 USD / kg (35,000 kg)", "4.70 USD / kg (22,650 kg)", 2026-04 (supplier transaction prices)</t>
  </si>
  <si>
    <t xml:space="preserve">29 Jun 2026 flood rescues VALCO/Sentuo, Tema New Town</t>
  </si>
  <si>
    <t xml:space="preserve">Monday June 29, 2026; "Waterland, VALCO/Sentuo, Tema New Town, Afienya and Alajo"</t>
  </si>
  <si>
    <t xml:space="preserve">All sources (opened between 4 and 5 Oct 2026)</t>
  </si>
  <si>
    <t xml:space="preserve">Used by inputs</t>
  </si>
  <si>
    <t xml:space="preserve">G02a, G02b</t>
  </si>
  <si>
    <t xml:space="preserve">B01, B05, S07</t>
  </si>
  <si>
    <t xml:space="preserve">I01, I09</t>
  </si>
  <si>
    <t xml:space="preserve">B01, C01, C02, C13</t>
  </si>
  <si>
    <t xml:space="preserve">V16, V20, V21</t>
  </si>
  <si>
    <t xml:space="preserve">V24, V31, V32</t>
  </si>
  <si>
    <t xml:space="preserve">B02, B03</t>
  </si>
  <si>
    <t xml:space="preserve">R01, R03</t>
  </si>
  <si>
    <t xml:space="preserve">E05, E15</t>
  </si>
  <si>
    <t xml:space="preserve">M01a, M01b</t>
  </si>
  <si>
    <t xml:space="preserve">A05, A12</t>
  </si>
  <si>
    <t xml:space="preserve">H08, H10</t>
  </si>
  <si>
    <t xml:space="preserve">H01, H02, H03</t>
  </si>
  <si>
    <t xml:space="preserve">A09, G11, M02, M03</t>
  </si>
  <si>
    <t xml:space="preserve">F01, F02, F04</t>
  </si>
  <si>
    <t xml:space="preserve">S02, S09, S10</t>
  </si>
  <si>
    <t xml:space="preserve">I05, R06</t>
  </si>
  <si>
    <t xml:space="preserve">R04a, R04b</t>
  </si>
  <si>
    <t xml:space="preserve">C04, C05</t>
  </si>
  <si>
    <t xml:space="preserve">H06, H09</t>
  </si>
  <si>
    <t xml:space="preserve">B07, B09</t>
  </si>
  <si>
    <t xml:space="preserve">N03a, N03b</t>
  </si>
  <si>
    <t xml:space="preserve">R08a, R08b</t>
  </si>
  <si>
    <t xml:space="preserve">A06, A10, A11</t>
  </si>
  <si>
    <t xml:space="preserve">C08, E06a, E06b</t>
  </si>
  <si>
    <t xml:space="preserve">G04a, G04b, G04c</t>
  </si>
  <si>
    <t xml:space="preserve">G04a, G04b, G04c, G05</t>
  </si>
  <si>
    <t xml:space="preserve">A01, A04</t>
  </si>
  <si>
    <t xml:space="preserve">C02, C03</t>
  </si>
  <si>
    <t xml:space="preserve">C03, C15</t>
  </si>
  <si>
    <t xml:space="preserve">D04, D08</t>
  </si>
  <si>
    <t xml:space="preserve">F03, P02</t>
  </si>
  <si>
    <t xml:space="preserve">C10, E07, E14, H08, H10</t>
  </si>
  <si>
    <t xml:space="preserve">Sensitivity snapshot (static values)</t>
  </si>
  <si>
    <t xml:space="preserve">Static snapshot computed on 5 Oct 2026 by recalculating this workbook with each input at Low and High (all else at base). It does not update live.</t>
  </si>
  <si>
    <t xml:space="preserve">Factory NPV by option under each hazard scenario</t>
  </si>
  <si>
    <t xml:space="preserve">Default package (Portfolio sheet)</t>
  </si>
  <si>
    <t xml:space="preserve">What moves the default package NPV most (tornado)</t>
  </si>
  <si>
    <t xml:space="preserve">NPV at Low</t>
  </si>
  <si>
    <t xml:space="preserve">NPV at High</t>
  </si>
  <si>
    <t xml:space="preserve">Swing</t>
  </si>
  <si>
    <t xml:space="preserve">Base NPV</t>
  </si>
  <si>
    <t xml:space="preserve">H08 Grid outage hours</t>
  </si>
  <si>
    <t xml:space="preserve">Package stays positive</t>
  </si>
  <si>
    <t xml:space="preserve">E07 Spoilage and restart per outage</t>
  </si>
  <si>
    <t xml:space="preserve">M02 Mango butter price ex-factory</t>
  </si>
  <si>
    <t xml:space="preserve">G01 Discount rate, real USD</t>
  </si>
  <si>
    <t xml:space="preserve">M01b Mango butter yield, solvent toll extraction</t>
  </si>
  <si>
    <t xml:space="preserve">H10 Average outage length</t>
  </si>
  <si>
    <t xml:space="preserve">H06 Flood depth without measures</t>
  </si>
  <si>
    <t xml:space="preserve">V01 Amazon US retail price, 8 oz shea body butter</t>
  </si>
  <si>
    <t xml:space="preserve">H05 Probability the Tema site floods</t>
  </si>
  <si>
    <t xml:space="preserve">C12 Share of butter sold as finished retail products</t>
  </si>
  <si>
    <t xml:space="preserve">C05 Unreplaceable share of a shortfall</t>
  </si>
  <si>
    <t xml:space="preserve">V25 Amazon advertising</t>
  </si>
  <si>
    <t xml:space="preserve">I05 Loyalty: cut in poor-year loss among served suppliers</t>
  </si>
  <si>
    <t xml:space="preserve">V22 FBA fulfillment fee per unit</t>
  </si>
  <si>
    <t xml:space="preserve">C07 Assets + inventory at Tema</t>
  </si>
  <si>
    <t xml:space="preserve">E10 Diesel genset installed</t>
  </si>
  <si>
    <t xml:space="preserve">C03 Contribution margin per t crude butter</t>
  </si>
  <si>
    <t xml:space="preserve">G05 Export share of sales</t>
  </si>
  <si>
    <t xml:space="preserve">H01 Probability of a poor shea year</t>
  </si>
  <si>
    <t xml:space="preserve">E25 E25</t>
  </si>
  <si>
    <t xml:space="preserve">M05 Share of shea replaceable in formulations</t>
  </si>
  <si>
    <t xml:space="preserve">V14 US additional tariff on Ghana goods</t>
  </si>
  <si>
    <t xml:space="preserve">E04 Diesel generation fuel cost</t>
  </si>
</sst>
</file>

<file path=xl/styles.xml><?xml version="1.0" encoding="utf-8"?>
<styleSheet xmlns="http://schemas.openxmlformats.org/spreadsheetml/2006/main">
  <numFmts count="13">
    <numFmt numFmtId="164" formatCode="General"/>
    <numFmt numFmtId="165" formatCode="0.0%;\(0.0%\);\-"/>
    <numFmt numFmtId="166" formatCode="#,##0;\(#,##0\);\-"/>
    <numFmt numFmtId="167" formatCode="#,##0.00;\(#,##0.00\);\-"/>
    <numFmt numFmtId="168" formatCode="0.000"/>
    <numFmt numFmtId="169" formatCode="\$#,##0.00;&quot;($&quot;#,##0.00\);\-"/>
    <numFmt numFmtId="170" formatCode="\$#,##0;&quot;($&quot;#,##0\);\-"/>
    <numFmt numFmtId="171" formatCode="[$-409]0%"/>
    <numFmt numFmtId="172" formatCode="0"/>
    <numFmt numFmtId="173" formatCode="0.00%"/>
    <numFmt numFmtId="174" formatCode="0.0000"/>
    <numFmt numFmtId="175" formatCode="0.0\×"/>
    <numFmt numFmtId="176" formatCode="\$#,##0;&quot;($&quot;#,##0\);\-"/>
  </numFmts>
  <fonts count="2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1"/>
      <color theme="1"/>
      <name val="Arial"/>
      <family val="0"/>
      <charset val="1"/>
    </font>
    <font>
      <b val="true"/>
      <sz val="14"/>
      <name val="Arial"/>
      <family val="0"/>
      <charset val="1"/>
    </font>
    <font>
      <i val="true"/>
      <sz val="11"/>
      <name val="Arial"/>
      <family val="0"/>
      <charset val="1"/>
    </font>
    <font>
      <b val="true"/>
      <sz val="11"/>
      <color rgb="FFFFFFFF"/>
      <name val="Arial"/>
      <family val="0"/>
      <charset val="1"/>
    </font>
    <font>
      <sz val="11"/>
      <color rgb="FF0000FF"/>
      <name val="Arial"/>
      <family val="0"/>
      <charset val="1"/>
    </font>
    <font>
      <u val="single"/>
      <sz val="11"/>
      <color rgb="FF1D5BB8"/>
      <name val="Arial"/>
      <family val="0"/>
      <charset val="1"/>
    </font>
    <font>
      <sz val="11"/>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sz val="11"/>
      <color rgb="FF666666"/>
      <name val="Arial"/>
      <family val="0"/>
      <charset val="1"/>
    </font>
    <font>
      <b val="true"/>
      <sz val="12"/>
      <name val="Arial"/>
      <family val="0"/>
      <charset val="1"/>
    </font>
  </fonts>
  <fills count="8">
    <fill>
      <patternFill patternType="none"/>
    </fill>
    <fill>
      <patternFill patternType="gray125"/>
    </fill>
    <fill>
      <patternFill patternType="solid">
        <fgColor rgb="FF1F3B57"/>
        <bgColor rgb="FF003366"/>
      </patternFill>
    </fill>
    <fill>
      <patternFill patternType="solid">
        <fgColor rgb="FFE9E2F7"/>
        <bgColor rgb="FFDCE8FA"/>
      </patternFill>
    </fill>
    <fill>
      <patternFill patternType="solid">
        <fgColor rgb="FFDCE8FA"/>
        <bgColor rgb="FFE8EEF4"/>
      </patternFill>
    </fill>
    <fill>
      <patternFill patternType="solid">
        <fgColor rgb="FFF8ECD4"/>
        <bgColor rgb="FFE8EEF4"/>
      </patternFill>
    </fill>
    <fill>
      <patternFill patternType="solid">
        <fgColor rgb="FFFFFF00"/>
        <bgColor rgb="FFFFFF00"/>
      </patternFill>
    </fill>
    <fill>
      <patternFill patternType="solid">
        <fgColor rgb="FFE8EEF4"/>
        <bgColor rgb="FFDCE8FA"/>
      </patternFill>
    </fill>
  </fills>
  <borders count="2">
    <border diagonalUp="false" diagonalDown="false">
      <left/>
      <right/>
      <top/>
      <bottom/>
      <diagonal/>
    </border>
    <border diagonalUp="false" diagonalDown="false">
      <left/>
      <right/>
      <top/>
      <bottom style="thin">
        <color rgb="FFC8D2D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bottom" textRotation="0" wrapText="false" indent="0" shrinkToFit="false"/>
      <protection locked="true" hidden="false"/>
    </xf>
    <xf numFmtId="169" fontId="5" fillId="0" borderId="1" xfId="0" applyFont="true" applyBorder="true" applyAlignment="true" applyProtection="false">
      <alignment horizontal="general" vertical="bottom" textRotation="0" wrapText="false" indent="0" shrinkToFit="false"/>
      <protection locked="true" hidden="false"/>
    </xf>
    <xf numFmtId="170" fontId="10" fillId="0" borderId="1" xfId="0" applyFont="true" applyBorder="true" applyAlignment="true" applyProtection="false">
      <alignment horizontal="general" vertical="bottom" textRotation="0" wrapText="false" indent="0" shrinkToFit="false"/>
      <protection locked="true" hidden="false"/>
    </xf>
    <xf numFmtId="170" fontId="5" fillId="0" borderId="1"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8" fontId="12"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9" fontId="12"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5" fontId="5" fillId="6" borderId="0" xfId="0" applyFont="true" applyBorder="false" applyAlignment="tru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72" fontId="5" fillId="0"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70" fontId="12" fillId="0"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73" fontId="6"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5" fontId="12" fillId="0" borderId="0" xfId="0" applyFont="true" applyBorder="false" applyAlignment="true" applyProtection="false">
      <alignment horizontal="general" vertical="bottom" textRotation="0" wrapText="false" indent="0" shrinkToFit="false"/>
      <protection locked="true" hidden="false"/>
    </xf>
    <xf numFmtId="174" fontId="12" fillId="0" borderId="0" xfId="0" applyFont="true" applyBorder="false" applyAlignment="tru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72" fontId="6" fillId="7" borderId="0" xfId="0" applyFont="tru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72" fontId="12" fillId="0"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70" fontId="5" fillId="6"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6"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B57"/>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DCE8FA"/>
          <bgColor rgb="FF000000"/>
        </patternFill>
      </fill>
    </dxf>
    <dxf>
      <fill>
        <patternFill patternType="solid">
          <fgColor rgb="FFE9E2F7"/>
          <bgColor rgb="FF000000"/>
        </patternFill>
      </fill>
    </dxf>
    <dxf>
      <fill>
        <patternFill patternType="solid">
          <fgColor rgb="FFF8ECD4"/>
          <bgColor rgb="FF000000"/>
        </patternFill>
      </fill>
    </dxf>
    <dxf>
      <fill>
        <patternFill patternType="solid">
          <fgColor rgb="FF1D5BB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78787"/>
      <rgbColor rgb="FF9999FF"/>
      <rgbColor rgb="FFC0504D"/>
      <rgbColor rgb="FFF8ECD4"/>
      <rgbColor rgb="FFDCE8FA"/>
      <rgbColor rgb="FF660066"/>
      <rgbColor rgb="FFFF8080"/>
      <rgbColor rgb="FF1D5BB8"/>
      <rgbColor rgb="FFC8D2DC"/>
      <rgbColor rgb="FF000080"/>
      <rgbColor rgb="FFFF00FF"/>
      <rgbColor rgb="FFFFFF00"/>
      <rgbColor rgb="FF00FFFF"/>
      <rgbColor rgb="FF800080"/>
      <rgbColor rgb="FF800000"/>
      <rgbColor rgb="FF008080"/>
      <rgbColor rgb="FF0000FF"/>
      <rgbColor rgb="FF00CCFF"/>
      <rgbColor rgb="FFE8EEF4"/>
      <rgbColor rgb="FFF9F9F9"/>
      <rgbColor rgb="FFE9E2F7"/>
      <rgbColor rgb="FF99CCFF"/>
      <rgbColor rgb="FFFF99CC"/>
      <rgbColor rgb="FFCC99FF"/>
      <rgbColor rgb="FFD9D9D9"/>
      <rgbColor rgb="FF4F81BD"/>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3B5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Where one Amazon jar's price goes (USD)</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'Value chain'!$A$11:$A$28</c:f>
              <c:strCache>
                <c:ptCount val="18"/>
                <c:pt idx="0">
                  <c:v>Crude shea butter (paid to women processors)</c:v>
                </c:pt>
                <c:pt idx="1">
                  <c:v>Other ingredients</c:v>
                </c:pt>
                <c:pt idx="2">
                  <c:v>Packaging</c:v>
                </c:pt>
                <c:pt idx="3">
                  <c:v>Factory conversion in Tema</c:v>
                </c:pt>
                <c:pt idx="4">
                  <c:v>Ghana port, handling, documents</c:v>
                </c:pt>
                <c:pt idx="5">
                  <c:v>Ocean freight to US</c:v>
                </c:pt>
                <c:pt idx="6">
                  <c:v>US import duty and tariff</c:v>
                </c:pt>
                <c:pt idx="7">
                  <c:v>US broker, drayage, trucking</c:v>
                </c:pt>
                <c:pt idx="8">
                  <c:v>Amazon AWD storage</c:v>
                </c:pt>
                <c:pt idx="9">
                  <c:v>Amazon AWD processing</c:v>
                </c:pt>
                <c:pt idx="10">
                  <c:v>Amazon AWD transport to FBA</c:v>
                </c:pt>
                <c:pt idx="11">
                  <c:v>Amazon FBA fulfillment fee</c:v>
                </c:pt>
                <c:pt idx="12">
                  <c:v>Amazon FBA storage (1 month)</c:v>
                </c:pt>
                <c:pt idx="13">
                  <c:v>Amazon referral fee</c:v>
                </c:pt>
                <c:pt idx="14">
                  <c:v>Amazon advertising</c:v>
                </c:pt>
                <c:pt idx="15">
                  <c:v>Returns and damages</c:v>
                </c:pt>
                <c:pt idx="16">
                  <c:v>Amazon Professional plan</c:v>
                </c:pt>
                <c:pt idx="17">
                  <c:v>Brand contribution margin (Ghanaian company)</c:v>
                </c:pt>
              </c:strCache>
            </c:strRef>
          </c:cat>
          <c:val>
            <c:numRef>
              <c:f>'Value chain'!$B$11:$B$28</c:f>
              <c:numCache>
                <c:formatCode>\$#,##0.00;"($"#,##0.00\);\-</c:formatCode>
                <c:ptCount val="18"/>
                <c:pt idx="0">
                  <c:v>0.47331914893617</c:v>
                </c:pt>
                <c:pt idx="1">
                  <c:v>0.3</c:v>
                </c:pt>
                <c:pt idx="2">
                  <c:v>0.7</c:v>
                </c:pt>
                <c:pt idx="3">
                  <c:v>0.5</c:v>
                </c:pt>
                <c:pt idx="4">
                  <c:v>0.05</c:v>
                </c:pt>
                <c:pt idx="5">
                  <c:v>0.1375</c:v>
                </c:pt>
                <c:pt idx="6">
                  <c:v>0.202331914893617</c:v>
                </c:pt>
                <c:pt idx="7">
                  <c:v>0.1</c:v>
                </c:pt>
                <c:pt idx="8">
                  <c:v>0.024</c:v>
                </c:pt>
                <c:pt idx="9">
                  <c:v>0.116666666666667</c:v>
                </c:pt>
                <c:pt idx="10">
                  <c:v>0.035</c:v>
                </c:pt>
                <c:pt idx="11">
                  <c:v>5.2</c:v>
                </c:pt>
                <c:pt idx="12">
                  <c:v>0.0195</c:v>
                </c:pt>
                <c:pt idx="13">
                  <c:v>2.2485</c:v>
                </c:pt>
                <c:pt idx="14">
                  <c:v>1.7988</c:v>
                </c:pt>
                <c:pt idx="15">
                  <c:v>0.4497</c:v>
                </c:pt>
                <c:pt idx="16">
                  <c:v>0.00159059098873592</c:v>
                </c:pt>
                <c:pt idx="17">
                  <c:v>2.63309167851481</c:v>
                </c:pt>
              </c:numCache>
            </c:numRef>
          </c:val>
        </c:ser>
        <c:gapWidth val="150"/>
        <c:overlap val="0"/>
        <c:axId val="64444690"/>
        <c:axId val="80700206"/>
      </c:barChart>
      <c:catAx>
        <c:axId val="6444469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700206"/>
        <c:crosses val="autoZero"/>
        <c:auto val="1"/>
        <c:lblAlgn val="ctr"/>
        <c:lblOffset val="100"/>
        <c:noMultiLvlLbl val="0"/>
      </c:catAx>
      <c:valAx>
        <c:axId val="80700206"/>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USD per jar</a:t>
                </a:r>
              </a:p>
            </c:rich>
          </c:tx>
          <c:overlay val="0"/>
          <c:spPr>
            <a:noFill/>
            <a:ln w="0">
              <a:noFill/>
            </a:ln>
          </c:spPr>
        </c:title>
        <c:numFmt formatCode="\$#,##0.00;&quot;($&quot;#,##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44469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Stays in Ghana vs leaves Ghana, per jar</a:t>
            </a:r>
          </a:p>
        </c:rich>
      </c:tx>
      <c:overlay val="0"/>
      <c:spPr>
        <a:noFill/>
        <a:ln w="0">
          <a:noFill/>
        </a:ln>
      </c:spPr>
    </c:title>
    <c:autoTitleDeleted val="0"/>
    <c:plotArea>
      <c:barChart>
        <c:barDir val="col"/>
        <c:grouping val="percentStacked"/>
        <c:varyColors val="0"/>
        <c:ser>
          <c:idx val="0"/>
          <c:order val="0"/>
          <c:tx>
            <c:strRef>
              <c:f>'Value chain'!K4</c:f>
              <c:strCache>
                <c:ptCount val="1"/>
                <c:pt idx="0">
                  <c:v>Stays in Ghana</c:v>
                </c:pt>
              </c:strCache>
            </c:strRef>
          </c:tx>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'Value chain'!$J$5:$J$6</c:f>
              <c:strCache>
                <c:ptCount val="2"/>
                <c:pt idx="0">
                  <c:v>Amazon US</c:v>
                </c:pt>
                <c:pt idx="1">
                  <c:v>Ghana retail</c:v>
                </c:pt>
              </c:strCache>
            </c:strRef>
          </c:cat>
          <c:val>
            <c:numRef>
              <c:f>'Value chain'!$K$5:$K$6</c:f>
              <c:numCache>
                <c:formatCode>\$#,##0.00;"($"#,##0.00\);\-</c:formatCode>
                <c:ptCount val="2"/>
                <c:pt idx="0">
                  <c:v>4.02641082745098</c:v>
                </c:pt>
                <c:pt idx="1">
                  <c:v>5.37</c:v>
                </c:pt>
              </c:numCache>
            </c:numRef>
          </c:val>
        </c:ser>
        <c:ser>
          <c:idx val="1"/>
          <c:order val="1"/>
          <c:tx>
            <c:strRef>
              <c:f>'Value chain'!L4</c:f>
              <c:strCache>
                <c:ptCount val="1"/>
                <c:pt idx="0">
                  <c:v>Leaves Ghana</c:v>
                </c:pt>
              </c:strCache>
            </c:strRef>
          </c:tx>
          <c:spPr>
            <a:solidFill>
              <a:srgbClr val="c0504d"/>
            </a:solidFill>
            <a:ln w="0">
              <a:noFill/>
            </a:ln>
          </c:spPr>
          <c:invertIfNegative val="0"/>
          <c:dLbls>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'Value chain'!$J$5:$J$6</c:f>
              <c:strCache>
                <c:ptCount val="2"/>
                <c:pt idx="0">
                  <c:v>Amazon US</c:v>
                </c:pt>
                <c:pt idx="1">
                  <c:v>Ghana retail</c:v>
                </c:pt>
              </c:strCache>
            </c:strRef>
          </c:cat>
          <c:val>
            <c:numRef>
              <c:f>'Value chain'!$L$5:$L$6</c:f>
              <c:numCache>
                <c:formatCode>\$#,##0.00;"($"#,##0.00\);\-</c:formatCode>
                <c:ptCount val="2"/>
                <c:pt idx="0">
                  <c:v>10.963589172549</c:v>
                </c:pt>
                <c:pt idx="1">
                  <c:v>0.63</c:v>
                </c:pt>
              </c:numCache>
            </c:numRef>
          </c:val>
        </c:ser>
        <c:gapWidth val="150"/>
        <c:overlap val="100"/>
        <c:axId val="54230872"/>
        <c:axId val="48216736"/>
      </c:barChart>
      <c:catAx>
        <c:axId val="5423087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216736"/>
        <c:crosses val="autoZero"/>
        <c:auto val="1"/>
        <c:lblAlgn val="ctr"/>
        <c:lblOffset val="100"/>
        <c:noMultiLvlLbl val="0"/>
      </c:catAx>
      <c:valAx>
        <c:axId val="48216736"/>
        <c:scaling>
          <c:orientation val="minMax"/>
        </c:scaling>
        <c:delete val="0"/>
        <c:axPos val="l"/>
        <c:majorGridlines>
          <c:spPr>
            <a:ln w="9360">
              <a:solidFill>
                <a:srgbClr val="878787"/>
              </a:solidFill>
              <a:round/>
            </a:ln>
          </c:spPr>
        </c:majorGridlines>
        <c:numFmt formatCode="[$-409]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423087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Factory NPV by option (USD)</a:t>
            </a:r>
          </a:p>
        </c:rich>
      </c:tx>
      <c:overlay val="0"/>
      <c:spPr>
        <a:noFill/>
        <a:ln w="0">
          <a:noFill/>
        </a:ln>
      </c:spPr>
    </c:title>
    <c:autoTitleDeleted val="0"/>
    <c:plotArea>
      <c:barChart>
        <c:barDir val="bar"/>
        <c:grouping val="clustered"/>
        <c:varyColors val="0"/>
        <c:ser>
          <c:idx val="0"/>
          <c:order val="0"/>
          <c:spPr>
            <a:solidFill>
              <a:srgbClr val="4f81bd"/>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Results!$B$5:$B$17</c:f>
              <c:strCache>
                <c:ptCount val="13"/>
                <c:pt idx="0">
                  <c:v>1 Solar irrigation (nurseries + gardens)</c:v>
                </c:pt>
                <c:pt idx="1">
                  <c:v>2 Apiaries</c:v>
                </c:pt>
                <c:pt idx="2">
                  <c:v>3 Regeneration &amp; agroforestry</c:v>
                </c:pt>
                <c:pt idx="3">
                  <c:v>4 Biochar at village processing centres</c:v>
                </c:pt>
                <c:pt idx="4">
                  <c:v>5 Processing stoves for butter suppliers</c:v>
                </c:pt>
                <c:pt idx="5">
                  <c:v>6 Flood drainage, detention, plinths</c:v>
                </c:pt>
                <c:pt idx="6">
                  <c:v>7a Solar PV, grid-tied</c:v>
                </c:pt>
                <c:pt idx="7">
                  <c:v>7b Battery + islanding (critical loads)</c:v>
                </c:pt>
                <c:pt idx="8">
                  <c:v>7c Solar PPA (no capex)</c:v>
                </c:pt>
                <c:pt idx="9">
                  <c:v>7d Diesel genset (comparator)</c:v>
                </c:pt>
                <c:pt idx="10">
                  <c:v>8 Mango toll pilot (substitution hedge)</c:v>
                </c:pt>
                <c:pt idx="11">
                  <c:v>9 Community fire management</c:v>
                </c:pt>
                <c:pt idx="12">
                  <c:v>10 Insurance: property incl. flood + BI</c:v>
                </c:pt>
              </c:strCache>
            </c:strRef>
          </c:cat>
          <c:val>
            <c:numRef>
              <c:f>Results!$C$5:$C$17</c:f>
              <c:numCache>
                <c:formatCode>\$#,##0;"($"#,##0\);\-</c:formatCode>
                <c:ptCount val="13"/>
                <c:pt idx="0">
                  <c:v>-135111.791018998</c:v>
                </c:pt>
                <c:pt idx="1">
                  <c:v>-31252.9247873509</c:v>
                </c:pt>
                <c:pt idx="2">
                  <c:v>-45446.6931048886</c:v>
                </c:pt>
                <c:pt idx="3">
                  <c:v>-126156.422724122</c:v>
                </c:pt>
                <c:pt idx="4">
                  <c:v>-43059.930983045</c:v>
                </c:pt>
                <c:pt idx="5">
                  <c:v>-66504.1169232252</c:v>
                </c:pt>
                <c:pt idx="6">
                  <c:v>72102.621472672</c:v>
                </c:pt>
                <c:pt idx="7">
                  <c:v>22445.3928658592</c:v>
                </c:pt>
                <c:pt idx="8">
                  <c:v>37002.5177476084</c:v>
                </c:pt>
                <c:pt idx="9">
                  <c:v>139263.339968661</c:v>
                </c:pt>
                <c:pt idx="10">
                  <c:v>123164.624969403</c:v>
                </c:pt>
                <c:pt idx="11">
                  <c:v>-98388.9934416813</c:v>
                </c:pt>
                <c:pt idx="12">
                  <c:v>1427.05095604958</c:v>
                </c:pt>
              </c:numCache>
            </c:numRef>
          </c:val>
        </c:ser>
        <c:gapWidth val="150"/>
        <c:overlap val="0"/>
        <c:axId val="19988378"/>
        <c:axId val="51370433"/>
      </c:barChart>
      <c:catAx>
        <c:axId val="1998837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370433"/>
        <c:crosses val="autoZero"/>
        <c:auto val="1"/>
        <c:lblAlgn val="ctr"/>
        <c:lblOffset val="100"/>
        <c:noMultiLvlLbl val="0"/>
      </c:catAx>
      <c:valAx>
        <c:axId val="51370433"/>
        <c:scaling>
          <c:orientation val="minMax"/>
        </c:scaling>
        <c:delete val="0"/>
        <c:axPos val="l"/>
        <c:majorGridlines>
          <c:spPr>
            <a:ln w="9360">
              <a:solidFill>
                <a:srgbClr val="878787"/>
              </a:solidFill>
              <a:round/>
            </a:ln>
          </c:spPr>
        </c:majorGridlines>
        <c:numFmt formatCode="\$#,##0;&quot;($&quot;#,##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98837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Default package NPV at Low and High input values</a:t>
            </a:r>
          </a:p>
        </c:rich>
      </c:tx>
      <c:overlay val="0"/>
      <c:spPr>
        <a:noFill/>
        <a:ln w="0">
          <a:noFill/>
        </a:ln>
      </c:spPr>
    </c:title>
    <c:autoTitleDeleted val="0"/>
    <c:plotArea>
      <c:barChart>
        <c:barDir val="bar"/>
        <c:grouping val="clustered"/>
        <c:varyColors val="0"/>
        <c:ser>
          <c:idx val="0"/>
          <c:order val="0"/>
          <c:tx>
            <c:strRef>
              <c:f>Sensitivity!B23</c:f>
              <c:strCache>
                <c:ptCount val="1"/>
                <c:pt idx="0">
                  <c:v>NPV at Low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Sensitivity!$A$24:$A$46</c:f>
              <c:strCache>
                <c:ptCount val="23"/>
                <c:pt idx="0">
                  <c:v>H08 Grid outage hours</c:v>
                </c:pt>
                <c:pt idx="1">
                  <c:v>E07 Spoilage and restart per outage</c:v>
                </c:pt>
                <c:pt idx="2">
                  <c:v>M02 Mango butter price ex-factory</c:v>
                </c:pt>
                <c:pt idx="3">
                  <c:v>G01 Discount rate, real USD</c:v>
                </c:pt>
                <c:pt idx="4">
                  <c:v>M01b Mango butter yield, solvent toll extraction</c:v>
                </c:pt>
                <c:pt idx="5">
                  <c:v>H10 Average outage length</c:v>
                </c:pt>
                <c:pt idx="6">
                  <c:v>H06 Flood depth without measures</c:v>
                </c:pt>
                <c:pt idx="7">
                  <c:v>V01 Amazon US retail price, 8 oz shea body butter</c:v>
                </c:pt>
                <c:pt idx="8">
                  <c:v>H05 Probability the Tema site floods</c:v>
                </c:pt>
                <c:pt idx="9">
                  <c:v>C12 Share of butter sold as finished retail products</c:v>
                </c:pt>
                <c:pt idx="10">
                  <c:v>C05 Unreplaceable share of a shortfall</c:v>
                </c:pt>
                <c:pt idx="11">
                  <c:v>V25 Amazon advertising</c:v>
                </c:pt>
                <c:pt idx="12">
                  <c:v>I05 Loyalty: cut in poor-year loss among served suppliers</c:v>
                </c:pt>
                <c:pt idx="13">
                  <c:v>V22 FBA fulfillment fee per unit</c:v>
                </c:pt>
                <c:pt idx="14">
                  <c:v>C07 Assets + inventory at Tema</c:v>
                </c:pt>
                <c:pt idx="15">
                  <c:v>E10 Diesel genset installed</c:v>
                </c:pt>
                <c:pt idx="16">
                  <c:v>C03 Contribution margin per t crude butter</c:v>
                </c:pt>
                <c:pt idx="17">
                  <c:v>G05 Export share of sales</c:v>
                </c:pt>
                <c:pt idx="18">
                  <c:v>H01 Probability of a poor shea year</c:v>
                </c:pt>
                <c:pt idx="19">
                  <c:v>E25 E25</c:v>
                </c:pt>
                <c:pt idx="20">
                  <c:v>M05 Share of shea replaceable in formulations</c:v>
                </c:pt>
                <c:pt idx="21">
                  <c:v>V14 US additional tariff on Ghana goods</c:v>
                </c:pt>
                <c:pt idx="22">
                  <c:v>E04 Diesel generation fuel cost</c:v>
                </c:pt>
              </c:strCache>
            </c:strRef>
          </c:cat>
          <c:val>
            <c:numRef>
              <c:f>Sensitivity!$B$24:$B$46</c:f>
              <c:numCache>
                <c:formatCode>\$#,##0;"($"#,##0\);\-</c:formatCode>
                <c:ptCount val="23"/>
                <c:pt idx="0">
                  <c:v>128382.19360997</c:v>
                </c:pt>
                <c:pt idx="1">
                  <c:v>182934.564882179</c:v>
                </c:pt>
                <c:pt idx="2">
                  <c:v>126585.199004764</c:v>
                </c:pt>
                <c:pt idx="3">
                  <c:v>384923.326968082</c:v>
                </c:pt>
                <c:pt idx="4">
                  <c:v>195892.881745379</c:v>
                </c:pt>
                <c:pt idx="5">
                  <c:v>388748.803579764</c:v>
                </c:pt>
                <c:pt idx="6">
                  <c:v>239358.235668377</c:v>
                </c:pt>
                <c:pt idx="7">
                  <c:v>219624.187388766</c:v>
                </c:pt>
                <c:pt idx="8">
                  <c:v>233610.631740546</c:v>
                </c:pt>
                <c:pt idx="9">
                  <c:v>228434.328828478</c:v>
                </c:pt>
                <c:pt idx="10">
                  <c:v>245062.802050936</c:v>
                </c:pt>
                <c:pt idx="11">
                  <c:v>280346.765990609</c:v>
                </c:pt>
                <c:pt idx="12">
                  <c:v>249218.119781247</c:v>
                </c:pt>
                <c:pt idx="13">
                  <c:v>273611.810062109</c:v>
                </c:pt>
                <c:pt idx="14">
                  <c:v>250506.309623912</c:v>
                </c:pt>
                <c:pt idx="15">
                  <c:v>274725.040676165</c:v>
                </c:pt>
                <c:pt idx="16">
                  <c:v>253851.822134745</c:v>
                </c:pt>
                <c:pt idx="17">
                  <c:v>251840.109757136</c:v>
                </c:pt>
                <c:pt idx="18">
                  <c:v>264910.961324823</c:v>
                </c:pt>
                <c:pt idx="19">
                  <c:v>260114.904393773</c:v>
                </c:pt>
                <c:pt idx="20">
                  <c:v>269054.333198487</c:v>
                </c:pt>
                <c:pt idx="21">
                  <c:v>264016.125492363</c:v>
                </c:pt>
                <c:pt idx="22">
                  <c:v>261967.232542052</c:v>
                </c:pt>
              </c:numCache>
            </c:numRef>
          </c:val>
        </c:ser>
        <c:ser>
          <c:idx val="1"/>
          <c:order val="1"/>
          <c:tx>
            <c:strRef>
              <c:f>Sensitivity!C23</c:f>
              <c:strCache>
                <c:ptCount val="1"/>
                <c:pt idx="0">
                  <c:v>NPV at High</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Sensitivity!$A$24:$A$46</c:f>
              <c:strCache>
                <c:ptCount val="23"/>
                <c:pt idx="0">
                  <c:v>H08 Grid outage hours</c:v>
                </c:pt>
                <c:pt idx="1">
                  <c:v>E07 Spoilage and restart per outage</c:v>
                </c:pt>
                <c:pt idx="2">
                  <c:v>M02 Mango butter price ex-factory</c:v>
                </c:pt>
                <c:pt idx="3">
                  <c:v>G01 Discount rate, real USD</c:v>
                </c:pt>
                <c:pt idx="4">
                  <c:v>M01b Mango butter yield, solvent toll extraction</c:v>
                </c:pt>
                <c:pt idx="5">
                  <c:v>H10 Average outage length</c:v>
                </c:pt>
                <c:pt idx="6">
                  <c:v>H06 Flood depth without measures</c:v>
                </c:pt>
                <c:pt idx="7">
                  <c:v>V01 Amazon US retail price, 8 oz shea body butter</c:v>
                </c:pt>
                <c:pt idx="8">
                  <c:v>H05 Probability the Tema site floods</c:v>
                </c:pt>
                <c:pt idx="9">
                  <c:v>C12 Share of butter sold as finished retail products</c:v>
                </c:pt>
                <c:pt idx="10">
                  <c:v>C05 Unreplaceable share of a shortfall</c:v>
                </c:pt>
                <c:pt idx="11">
                  <c:v>V25 Amazon advertising</c:v>
                </c:pt>
                <c:pt idx="12">
                  <c:v>I05 Loyalty: cut in poor-year loss among served suppliers</c:v>
                </c:pt>
                <c:pt idx="13">
                  <c:v>V22 FBA fulfillment fee per unit</c:v>
                </c:pt>
                <c:pt idx="14">
                  <c:v>C07 Assets + inventory at Tema</c:v>
                </c:pt>
                <c:pt idx="15">
                  <c:v>E10 Diesel genset installed</c:v>
                </c:pt>
                <c:pt idx="16">
                  <c:v>C03 Contribution margin per t crude butter</c:v>
                </c:pt>
                <c:pt idx="17">
                  <c:v>G05 Export share of sales</c:v>
                </c:pt>
                <c:pt idx="18">
                  <c:v>H01 Probability of a poor shea year</c:v>
                </c:pt>
                <c:pt idx="19">
                  <c:v>E25 E25</c:v>
                </c:pt>
                <c:pt idx="20">
                  <c:v>M05 Share of shea replaceable in formulations</c:v>
                </c:pt>
                <c:pt idx="21">
                  <c:v>V14 US additional tariff on Ghana goods</c:v>
                </c:pt>
                <c:pt idx="22">
                  <c:v>E04 Diesel generation fuel cost</c:v>
                </c:pt>
              </c:strCache>
            </c:strRef>
          </c:cat>
          <c:val>
            <c:numRef>
              <c:f>Sensitivity!$C$24:$C$46</c:f>
              <c:numCache>
                <c:formatCode>\$#,##0;"($"#,##0\);\-</c:formatCode>
                <c:ptCount val="23"/>
                <c:pt idx="0">
                  <c:v>819978.925224938</c:v>
                </c:pt>
                <c:pt idx="1">
                  <c:v>646016.601951746</c:v>
                </c:pt>
                <c:pt idx="2">
                  <c:v>447056.491938387</c:v>
                </c:pt>
                <c:pt idx="3">
                  <c:v>176474.744301496</c:v>
                </c:pt>
                <c:pt idx="4">
                  <c:v>394651.303550811</c:v>
                </c:pt>
                <c:pt idx="5">
                  <c:v>195797.954800778</c:v>
                </c:pt>
                <c:pt idx="6">
                  <c:v>401570.52743481</c:v>
                </c:pt>
                <c:pt idx="7">
                  <c:v>327599.432735452</c:v>
                </c:pt>
                <c:pt idx="8">
                  <c:v>339627.722353456</c:v>
                </c:pt>
                <c:pt idx="9">
                  <c:v>307635.767741716</c:v>
                </c:pt>
                <c:pt idx="10">
                  <c:v>290219.109079447</c:v>
                </c:pt>
                <c:pt idx="11">
                  <c:v>236992.776854533</c:v>
                </c:pt>
                <c:pt idx="12">
                  <c:v>281908.473618825</c:v>
                </c:pt>
                <c:pt idx="13">
                  <c:v>244689.869344247</c:v>
                </c:pt>
                <c:pt idx="14">
                  <c:v>271879.851783218</c:v>
                </c:pt>
                <c:pt idx="15">
                  <c:v>253727.558380868</c:v>
                </c:pt>
                <c:pt idx="16">
                  <c:v>273535.794948833</c:v>
                </c:pt>
                <c:pt idx="17">
                  <c:v>268445.288399707</c:v>
                </c:pt>
                <c:pt idx="18">
                  <c:v>253720.16181904</c:v>
                </c:pt>
                <c:pt idx="19">
                  <c:v>269513.252865741</c:v>
                </c:pt>
                <c:pt idx="20">
                  <c:v>260114.904393773</c:v>
                </c:pt>
                <c:pt idx="21">
                  <c:v>258164.293844478</c:v>
                </c:pt>
                <c:pt idx="22">
                  <c:v>256641.789115751</c:v>
                </c:pt>
              </c:numCache>
            </c:numRef>
          </c:val>
        </c:ser>
        <c:gapWidth val="150"/>
        <c:overlap val="0"/>
        <c:axId val="61462092"/>
        <c:axId val="66227294"/>
      </c:barChart>
      <c:catAx>
        <c:axId val="6146209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6227294"/>
        <c:crosses val="autoZero"/>
        <c:auto val="1"/>
        <c:lblAlgn val="ctr"/>
        <c:lblOffset val="100"/>
        <c:noMultiLvlLbl val="0"/>
      </c:catAx>
      <c:valAx>
        <c:axId val="66227294"/>
        <c:scaling>
          <c:orientation val="minMax"/>
        </c:scaling>
        <c:delete val="0"/>
        <c:axPos val="l"/>
        <c:majorGridlines>
          <c:spPr>
            <a:ln w="0">
              <a:solidFill>
                <a:srgbClr val="b3b3b3"/>
              </a:solidFill>
            </a:ln>
          </c:spPr>
        </c:majorGridlines>
        <c:numFmt formatCode="\$#,##0;&quot;($&quot;#,##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146209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8</xdr:row>
      <xdr:rowOff>160920</xdr:rowOff>
    </xdr:from>
    <xdr:to>
      <xdr:col>18</xdr:col>
      <xdr:colOff>363960</xdr:colOff>
      <xdr:row>28</xdr:row>
      <xdr:rowOff>159480</xdr:rowOff>
    </xdr:to>
    <xdr:graphicFrame>
      <xdr:nvGraphicFramePr>
        <xdr:cNvPr id="0" name="Chart 1"/>
        <xdr:cNvGraphicFramePr/>
      </xdr:nvGraphicFramePr>
      <xdr:xfrm>
        <a:off x="10008720" y="1713600"/>
        <a:ext cx="6479280" cy="395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31</xdr:row>
      <xdr:rowOff>10080</xdr:rowOff>
    </xdr:from>
    <xdr:to>
      <xdr:col>15</xdr:col>
      <xdr:colOff>38520</xdr:colOff>
      <xdr:row>45</xdr:row>
      <xdr:rowOff>42120</xdr:rowOff>
    </xdr:to>
    <xdr:graphicFrame>
      <xdr:nvGraphicFramePr>
        <xdr:cNvPr id="1" name="Chart 2"/>
        <xdr:cNvGraphicFramePr/>
      </xdr:nvGraphicFramePr>
      <xdr:xfrm>
        <a:off x="10008720" y="6086880"/>
        <a:ext cx="4319280" cy="2870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160920</xdr:rowOff>
    </xdr:from>
    <xdr:to>
      <xdr:col>21</xdr:col>
      <xdr:colOff>364320</xdr:colOff>
      <xdr:row>19</xdr:row>
      <xdr:rowOff>209880</xdr:rowOff>
    </xdr:to>
    <xdr:graphicFrame>
      <xdr:nvGraphicFramePr>
        <xdr:cNvPr id="2" name="Chart 1"/>
        <xdr:cNvGraphicFramePr/>
      </xdr:nvGraphicFramePr>
      <xdr:xfrm>
        <a:off x="15060960" y="570600"/>
        <a:ext cx="6479280" cy="35920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3</xdr:row>
      <xdr:rowOff>0</xdr:rowOff>
    </xdr:from>
    <xdr:to>
      <xdr:col>19</xdr:col>
      <xdr:colOff>473040</xdr:colOff>
      <xdr:row>25</xdr:row>
      <xdr:rowOff>128520</xdr:rowOff>
    </xdr:to>
    <xdr:graphicFrame>
      <xdr:nvGraphicFramePr>
        <xdr:cNvPr id="3" name="Chart 1"/>
        <xdr:cNvGraphicFramePr/>
      </xdr:nvGraphicFramePr>
      <xdr:xfrm>
        <a:off x="12312000" y="600120"/>
        <a:ext cx="7199640" cy="43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pages.stern.nyu.edu/~adamodar/New_Home_Page/datafile/ctryprem.html" TargetMode="External"/><Relationship Id="rId3" Type="http://schemas.openxmlformats.org/officeDocument/2006/relationships/hyperlink" Target="https://fred.stlouisfed.org/series/DGS10" TargetMode="External"/><Relationship Id="rId4" Type="http://schemas.openxmlformats.org/officeDocument/2006/relationships/hyperlink" Target="https://www.graphic.com.gh/business/business-news/fitch-upgrades-ghanas-sovereign-rating-as-debt-burden-eases.html" TargetMode="External"/><Relationship Id="rId5" Type="http://schemas.openxmlformats.org/officeDocument/2006/relationships/hyperlink" Target="https://development.asia/summary/guidelines-economic-analysis-projects" TargetMode="External"/><Relationship Id="rId6" Type="http://schemas.openxmlformats.org/officeDocument/2006/relationships/hyperlink" Target="https://apps.worldagroforestry.org/treedb2/speciesprofile.php?Spid=394" TargetMode="External"/><Relationship Id="rId7" Type="http://schemas.openxmlformats.org/officeDocument/2006/relationships/hyperlink" Target="https://development.asia/summary/guidelines-economic-analysis-projects" TargetMode="External"/><Relationship Id="rId8" Type="http://schemas.openxmlformats.org/officeDocument/2006/relationships/hyperlink" Target="https://apps.worldagroforestry.org/treedb2/speciesprofile.php?Spid=394" TargetMode="External"/><Relationship Id="rId9" Type="http://schemas.openxmlformats.org/officeDocument/2006/relationships/hyperlink" Target="https://www.myjoyonline.com/cedi-depreciates-by-9-5-in-nine-months-of-2026-bog/" TargetMode="External"/><Relationship Id="rId10" Type="http://schemas.openxmlformats.org/officeDocument/2006/relationships/hyperlink" Target="https://www.myjoyonline.com/cedi-to-end-year-at-gh&#162;12-20-to-a-us-dollar-databank-research/" TargetMode="External"/><Relationship Id="rId11" Type="http://schemas.openxmlformats.org/officeDocument/2006/relationships/hyperlink" Target="https://www.marketscreener.com/quote/stock/BARCLAYS-PLC-9583556/news/Ghana-s-cedi-set-to-weaken-sharply-as-gold-exports-plateau-and-spending-rises-Barclays-warns-50499015/" TargetMode="External"/><Relationship Id="rId12" Type="http://schemas.openxmlformats.org/officeDocument/2006/relationships/hyperlink" Target="https://taxsummaries.pwc.com/Ghana/Corporate/Tax-credits-and-incentives" TargetMode="External"/><Relationship Id="rId13" Type="http://schemas.openxmlformats.org/officeDocument/2006/relationships/hyperlink" Target="https://taxsummaries.pwc.com/ghana/corporate/taxes-on-corporate-income" TargetMode="External"/><Relationship Id="rId14" Type="http://schemas.openxmlformats.org/officeDocument/2006/relationships/hyperlink" Target="https://taxsummaries.pwc.com/Ghana/Corporate/Tax-credits-and-incentives" TargetMode="External"/><Relationship Id="rId15" Type="http://schemas.openxmlformats.org/officeDocument/2006/relationships/hyperlink" Target="https://taxsummaries.pwc.com/ghana/corporate/taxes-on-corporate-income" TargetMode="External"/><Relationship Id="rId16" Type="http://schemas.openxmlformats.org/officeDocument/2006/relationships/hyperlink" Target="https://taxsummaries.pwc.com/Ghana/Corporate/Tax-credits-and-incentives" TargetMode="External"/><Relationship Id="rId17" Type="http://schemas.openxmlformats.org/officeDocument/2006/relationships/hyperlink" Target="https://taxsummaries.pwc.com/ghana/corporate/taxes-on-corporate-income" TargetMode="External"/><Relationship Id="rId18" Type="http://schemas.openxmlformats.org/officeDocument/2006/relationships/hyperlink" Target="https://taxsummaries.pwc.com/Ghana/Corporate/Tax-credits-and-incentives" TargetMode="External"/><Relationship Id="rId19" Type="http://schemas.openxmlformats.org/officeDocument/2006/relationships/hyperlink" Target="https://taxsummaries.pwc.com/ghana/corporate/deductions" TargetMode="External"/><Relationship Id="rId20" Type="http://schemas.openxmlformats.org/officeDocument/2006/relationships/hyperlink" Target="https://ir.knust.edu.gh/items/55b8fbe9-58e6-4ed9-aedf-281400004a58/full" TargetMode="External"/><Relationship Id="rId21" Type="http://schemas.openxmlformats.org/officeDocument/2006/relationships/hyperlink" Target="https://ir.knust.edu.gh/items/3dfcb635-4563-4fad-9e72-aba3d0115d5c/full" TargetMode="External"/><Relationship Id="rId22" Type="http://schemas.openxmlformats.org/officeDocument/2006/relationships/hyperlink" Target="https://gna.org.gh/2026/09/vice-president-opoku-agyemang-opens-world-shea-expo-2026-in-tamale/" TargetMode="External"/><Relationship Id="rId23" Type="http://schemas.openxmlformats.org/officeDocument/2006/relationships/hyperlink" Target="https://doaj.org/article/73e0ffab0b6a4dd882aaedcc6ee0e28b" TargetMode="External"/><Relationship Id="rId24" Type="http://schemas.openxmlformats.org/officeDocument/2006/relationships/hyperlink" Target="https://www.howwemadeitinafrica.com/ghana-company-sells-homegrown-shea-butter-to-unilever-and-loccitane/139951/" TargetMode="External"/><Relationship Id="rId25" Type="http://schemas.openxmlformats.org/officeDocument/2006/relationships/hyperlink" Target="https://www.graphic.com.gh/business/business-news/tcda-sets-gh-9-01-kg-as-minimum-producer-price-for-shea-nuts-from-july-1.html" TargetMode="External"/><Relationship Id="rId26" Type="http://schemas.openxmlformats.org/officeDocument/2006/relationships/hyperlink" Target="https://doaj.org/article/73e0ffab0b6a4dd882aaedcc6ee0e28b" TargetMode="External"/><Relationship Id="rId27" Type="http://schemas.openxmlformats.org/officeDocument/2006/relationships/hyperlink" Target="https://www.tridge.com/intelligences/shea-butter/GH/price" TargetMode="External"/><Relationship Id="rId28" Type="http://schemas.openxmlformats.org/officeDocument/2006/relationships/hyperlink" Target="https://www.tridge.com/market-overview/refined-shea-butter" TargetMode="External"/><Relationship Id="rId29" Type="http://schemas.openxmlformats.org/officeDocument/2006/relationships/hyperlink" Target="https://www.tridge.com/intelligences/shea-butter/GH/price" TargetMode="External"/><Relationship Id="rId30" Type="http://schemas.openxmlformats.org/officeDocument/2006/relationships/hyperlink" Target="https://www.gulf-times.com/article/717500/international/africa/sellers-under-strain-in-ivory-coasts-struggling-shea-industry" TargetMode="External"/><Relationship Id="rId31" Type="http://schemas.openxmlformats.org/officeDocument/2006/relationships/hyperlink" Target="https://ifdc.org/wp-content/uploads/2020/09/EnGRAIS_Port-Fact-Sheet-Tema_EN.pdf" TargetMode="External"/><Relationship Id="rId32" Type="http://schemas.openxmlformats.org/officeDocument/2006/relationships/hyperlink" Target="https://www.gulf-times.com/article/717500/international/africa/sellers-under-strain-in-ivory-coasts-struggling-shea-industry" TargetMode="External"/><Relationship Id="rId33" Type="http://schemas.openxmlformats.org/officeDocument/2006/relationships/hyperlink" Target="https://www.citinewsroom.com/2025/07/ghana-targets-640m-annual-revenue-from-shea-under-24-hour-economy-push/" TargetMode="External"/><Relationship Id="rId34" Type="http://schemas.openxmlformats.org/officeDocument/2006/relationships/hyperlink" Target="https://www.graphic.com.gh/news/general-news/ghana-news-shea-butter-processing-facility-inaugurated-at-kpugi.html" TargetMode="External"/><Relationship Id="rId35" Type="http://schemas.openxmlformats.org/officeDocument/2006/relationships/hyperlink" Target="https://www.ecofinagency.com/news/2307-47810-ghana-to-revive-shea-processing-plant-with-4-million-injection" TargetMode="External"/><Relationship Id="rId36" Type="http://schemas.openxmlformats.org/officeDocument/2006/relationships/hyperlink" Target="https://allafrica.com/stories/202602110580.html" TargetMode="External"/><Relationship Id="rId37" Type="http://schemas.openxmlformats.org/officeDocument/2006/relationships/hyperlink" Target="https://ideas.repec.org/a/spr/envsyd/v44y2024i1d10.1007_s10669-023-09925-y.html" TargetMode="External"/><Relationship Id="rId38" Type="http://schemas.openxmlformats.org/officeDocument/2006/relationships/hyperlink" Target="https://www.gcirc.org/fileadmin/documents/Proceedings/IRCPrague2011vol2/Oilmill_Refining_Process/1101-1104.pdf" TargetMode="External"/><Relationship Id="rId39" Type="http://schemas.openxmlformats.org/officeDocument/2006/relationships/hyperlink" Target="https://microdata.worldbank.org/catalog/6444" TargetMode="External"/><Relationship Id="rId40" Type="http://schemas.openxmlformats.org/officeDocument/2006/relationships/hyperlink" Target="https://www.fao.org/4/X3940E/X3940E09.htm" TargetMode="External"/><Relationship Id="rId41" Type="http://schemas.openxmlformats.org/officeDocument/2006/relationships/hyperlink" Target="https://agris.fao.org/search/fr/records/65df45000f3e94b9e5d6cd8e" TargetMode="External"/><Relationship Id="rId42" Type="http://schemas.openxmlformats.org/officeDocument/2006/relationships/hyperlink" Target="https://www.meteo.gov.gh/documents/12579/State_of_the_climate_Report_2025.pdf" TargetMode="External"/><Relationship Id="rId43" Type="http://schemas.openxmlformats.org/officeDocument/2006/relationships/hyperlink" Target="https://www.fao.org/4/X3940E/X3940E09.htm" TargetMode="External"/><Relationship Id="rId44" Type="http://schemas.openxmlformats.org/officeDocument/2006/relationships/hyperlink" Target="https://www.ecofinagency.com/news-agriculture/1607-47708-shea-sector-west-africa-market-struggles-as-export-bans-expand" TargetMode="External"/><Relationship Id="rId45" Type="http://schemas.openxmlformats.org/officeDocument/2006/relationships/hyperlink" Target="https://revues.cirad.fr/index.php/fruits/article/download/35862/34641/37906" TargetMode="External"/><Relationship Id="rId46" Type="http://schemas.openxmlformats.org/officeDocument/2006/relationships/hyperlink" Target="https://www.fao.org/4/X3940E/X3940E09.htm" TargetMode="External"/><Relationship Id="rId47" Type="http://schemas.openxmlformats.org/officeDocument/2006/relationships/hyperlink" Target="https://link.springer.com/10.1186/s42408-023-00198-z" TargetMode="External"/><Relationship Id="rId48" Type="http://schemas.openxmlformats.org/officeDocument/2006/relationships/hyperlink" Target="https://www.myjoyonline.com/west-africa-losing-8-million-shea-trees-annually-global-shea-alliance-warns/" TargetMode="External"/><Relationship Id="rId49" Type="http://schemas.openxmlformats.org/officeDocument/2006/relationships/hyperlink" Target="https://www.ocl-journal.org/articles/ocl/pdf/2014/02/ocl130026.pdf" TargetMode="External"/><Relationship Id="rId50" Type="http://schemas.openxmlformats.org/officeDocument/2006/relationships/hyperlink" Target="https://allafrica.com/stories/202506110147.html" TargetMode="External"/><Relationship Id="rId51" Type="http://schemas.openxmlformats.org/officeDocument/2006/relationships/hyperlink" Target="https://www.myjoyonline.com/?p=10047971" TargetMode="External"/><Relationship Id="rId52" Type="http://schemas.openxmlformats.org/officeDocument/2006/relationships/hyperlink" Target="https://www.gafonline.mil.gh/blog-details/eastern-naval-command-conducts-flood-rescues-in-tema" TargetMode="External"/><Relationship Id="rId53" Type="http://schemas.openxmlformats.org/officeDocument/2006/relationships/hyperlink" Target="https://starrfm.com.gh/may-18-floods-most-severe-in-5-years-in-parts-of-ghana-nadmo" TargetMode="External"/><Relationship Id="rId54" Type="http://schemas.openxmlformats.org/officeDocument/2006/relationships/hyperlink" Target="https://publications.jrc.ec.europa.eu/repository/handle/JRC105688" TargetMode="External"/><Relationship Id="rId55" Type="http://schemas.openxmlformats.org/officeDocument/2006/relationships/hyperlink" Target="https://www.citinewsroom.com/?p=1369423" TargetMode="External"/><Relationship Id="rId56" Type="http://schemas.openxmlformats.org/officeDocument/2006/relationships/hyperlink" Target="https://www.etd.ceu.edu/2022/amegayie_amos.pdf" TargetMode="External"/><Relationship Id="rId57" Type="http://schemas.openxmlformats.org/officeDocument/2006/relationships/hyperlink" Target="https://microdata.worldbank.org/catalog/6444" TargetMode="External"/><Relationship Id="rId58" Type="http://schemas.openxmlformats.org/officeDocument/2006/relationships/hyperlink" Target="https://gna.org.gh/2024/06/accra-residents-experience-outages-four-times-a-week-iea-survey/" TargetMode="External"/><Relationship Id="rId59" Type="http://schemas.openxmlformats.org/officeDocument/2006/relationships/hyperlink" Target="https://energyforgrowth.org/article/how-can-small-and-medium-enterprises-cope-with-power-outages" TargetMode="External"/><Relationship Id="rId60" Type="http://schemas.openxmlformats.org/officeDocument/2006/relationships/hyperlink" Target="https://raw.githubusercontent.com/os-climate/physrisk/main/docs/user_guide/vulnerability/vulnerability_functions/inundation_jrc/raw.csv" TargetMode="External"/><Relationship Id="rId61" Type="http://schemas.openxmlformats.org/officeDocument/2006/relationships/hyperlink" Target="https://publications.jrc.ec.europa.eu/repository/handle/JRC105688" TargetMode="External"/><Relationship Id="rId62" Type="http://schemas.openxmlformats.org/officeDocument/2006/relationships/hyperlink" Target="https://www.isd.gov.gh/government-builds-25-solar-boreholes-to-boost-vegetable-production-in-northern-ghana/" TargetMode="External"/><Relationship Id="rId63" Type="http://schemas.openxmlformats.org/officeDocument/2006/relationships/hyperlink" Target="https://agrilinks.org/post/cocoa-farmers-ghana-show-strong-interest-solar-based-irrigation-pump-costs-are-often-too-high" TargetMode="External"/><Relationship Id="rId64" Type="http://schemas.openxmlformats.org/officeDocument/2006/relationships/hyperlink" Target="https://core.ac.uk/display/385054" TargetMode="External"/><Relationship Id="rId65" Type="http://schemas.openxmlformats.org/officeDocument/2006/relationships/hyperlink" Target="https://fsrp.org.gh/blog/From-Dry-Fields-To-Full-Baskets-%28How-Ghana%27s-Tomato-Farmers-Are-Re-writting-The-Dry-Season%29" TargetMode="External"/><Relationship Id="rId66" Type="http://schemas.openxmlformats.org/officeDocument/2006/relationships/hyperlink" Target="https://borlaug.tamu.edu/wp-content/uploads/sites/3/2019/11/ilssi-technical-report-economic-analayis-ghana.pdf" TargetMode="External"/><Relationship Id="rId67" Type="http://schemas.openxmlformats.org/officeDocument/2006/relationships/hyperlink" Target="https://globalshea.com/gsamain/storage/img/news/docs/Finance%20Reimagined_%20A%20Replicable%20Model%20For%20Financing%20The%20Shea%20Industry%20(1).pdf" TargetMode="External"/><Relationship Id="rId68" Type="http://schemas.openxmlformats.org/officeDocument/2006/relationships/hyperlink" Target="https://www.graphic.com.gh/news/general-news/ghanan-news-disbursement-for-shea-collectors-begins-in-bimbilla-275-000-women-to-receive-eur13m-for-2026-season.html" TargetMode="External"/><Relationship Id="rId69" Type="http://schemas.openxmlformats.org/officeDocument/2006/relationships/hyperlink" Target="https://www.tropentag.de/2016/abstracts/pdf/1029.pdf" TargetMode="External"/><Relationship Id="rId70" Type="http://schemas.openxmlformats.org/officeDocument/2006/relationships/hyperlink" Target="https://www.beeculture.com/catch-buzz-ghana-wants-piece-global-honey-export-business-intends-fund-growth/" TargetMode="External"/><Relationship Id="rId71" Type="http://schemas.openxmlformats.org/officeDocument/2006/relationships/hyperlink" Target="https://media.rufford.org/media/project_reports/12807-1%20Final%20Report.pdf" TargetMode="External"/><Relationship Id="rId72" Type="http://schemas.openxmlformats.org/officeDocument/2006/relationships/hyperlink" Target="https://ir.knust.edu.gh/handle/123456789/8463" TargetMode="External"/><Relationship Id="rId73" Type="http://schemas.openxmlformats.org/officeDocument/2006/relationships/hyperlink" Target="https://pdf.usaid.gov/pdf_docs/PA00T98B.pdf" TargetMode="External"/><Relationship Id="rId74" Type="http://schemas.openxmlformats.org/officeDocument/2006/relationships/hyperlink" Target="https://lrrd.org/lrrd25/5/haft25086.htm" TargetMode="External"/><Relationship Id="rId75" Type="http://schemas.openxmlformats.org/officeDocument/2006/relationships/hyperlink" Target="https://www.fao.org/4/y5110e/y5110e07.htm" TargetMode="External"/><Relationship Id="rId76" Type="http://schemas.openxmlformats.org/officeDocument/2006/relationships/hyperlink" Target="https://media.rufford.org/media/project_reports/12807-1%20Final%20Report.pdf" TargetMode="External"/><Relationship Id="rId77" Type="http://schemas.openxmlformats.org/officeDocument/2006/relationships/hyperlink" Target="https://ijsses.tiu.edu.iq/index.php/ijsses/article/view/468" TargetMode="External"/><Relationship Id="rId78" Type="http://schemas.openxmlformats.org/officeDocument/2006/relationships/hyperlink" Target="https://beesforbabar.org/photos_update_20260705.htm" TargetMode="External"/><Relationship Id="rId79" Type="http://schemas.openxmlformats.org/officeDocument/2006/relationships/hyperlink" Target="https://doaj.org/article/5092b417b85c425388272fd8bdc264e2" TargetMode="External"/><Relationship Id="rId80" Type="http://schemas.openxmlformats.org/officeDocument/2006/relationships/hyperlink" Target="https://pollinationecology.org/index.php/jpe/article/download/473/158/1782" TargetMode="External"/><Relationship Id="rId81" Type="http://schemas.openxmlformats.org/officeDocument/2006/relationships/hyperlink" Target="https://www.darwininitiative.org.uk/documents/DAR30001/27704/30-001%20AR2%20-%20edited.pdf" TargetMode="External"/><Relationship Id="rId82" Type="http://schemas.openxmlformats.org/officeDocument/2006/relationships/hyperlink" Target="https://m.indiamart.com/impcat/beeswax.html" TargetMode="External"/><Relationship Id="rId83" Type="http://schemas.openxmlformats.org/officeDocument/2006/relationships/hyperlink" Target="https://fred.stlouisfed.org/series/DEXINUS" TargetMode="External"/><Relationship Id="rId84" Type="http://schemas.openxmlformats.org/officeDocument/2006/relationships/hyperlink" Target="https://audit.gov.gh/files/audit_reports/Performance_Audit_Report_Of_The_Auditor-General_On_Management_Of_The_Green_Ghana_Project_By_Ministry_Of_Lands_And_Natural_Resources.pdf" TargetMode="External"/><Relationship Id="rId85" Type="http://schemas.openxmlformats.org/officeDocument/2006/relationships/hyperlink" Target="https://www.crs.org/sites/default/files/2025-04/ReGreening%20Africa%20Case%20Study_final%20%281%29.pdf" TargetMode="External"/><Relationship Id="rId86" Type="http://schemas.openxmlformats.org/officeDocument/2006/relationships/hyperlink" Target="https://audit.gov.gh/files/audit_reports/Performance_Audit_Report_Of_The_Auditor-General_On_Management_Of_The_Green_Ghana_Project_By_Ministry_Of_Lands_And_Natural_Resources.pdf" TargetMode="External"/><Relationship Id="rId87" Type="http://schemas.openxmlformats.org/officeDocument/2006/relationships/hyperlink" Target="https://www.graphic.com.gh/daily-graphic-editorials/ghana-news-tree-planting-is-easy-nurturing-is-the-test.html" TargetMode="External"/><Relationship Id="rId88" Type="http://schemas.openxmlformats.org/officeDocument/2006/relationships/hyperlink" Target="https://www.graphic.com.gh/features/features/bole-crig-develops-short-gestation-shea.html" TargetMode="External"/><Relationship Id="rId89" Type="http://schemas.openxmlformats.org/officeDocument/2006/relationships/hyperlink" Target="https://www.undp.org/node/416886" TargetMode="External"/><Relationship Id="rId90" Type="http://schemas.openxmlformats.org/officeDocument/2006/relationships/hyperlink" Target="https://agritrop.cirad.fr/548895" TargetMode="External"/><Relationship Id="rId91" Type="http://schemas.openxmlformats.org/officeDocument/2006/relationships/hyperlink" Target="https://www.graphic.com.gh/features/features/bole-crig-develops-short-gestation-shea.html" TargetMode="External"/><Relationship Id="rId92" Type="http://schemas.openxmlformats.org/officeDocument/2006/relationships/hyperlink" Target="https://www.undp.org/node/416886" TargetMode="External"/><Relationship Id="rId93" Type="http://schemas.openxmlformats.org/officeDocument/2006/relationships/hyperlink" Target="https://agritrop.cirad.fr/548895" TargetMode="External"/><Relationship Id="rId94" Type="http://schemas.openxmlformats.org/officeDocument/2006/relationships/hyperlink" Target="https://fruits.edpsciences.org/articles/fruits/abs/2004/06/i4039/i4039.html" TargetMode="External"/><Relationship Id="rId95" Type="http://schemas.openxmlformats.org/officeDocument/2006/relationships/hyperlink" Target="https://kolibri.teacherinabox.org.au/modules/en-practical_action/Crop%20processing/Nut%20Processing%20and%20Oil%20Extraction/KnO-100293_Shea%20nut%20processing.pdf" TargetMode="External"/><Relationship Id="rId96" Type="http://schemas.openxmlformats.org/officeDocument/2006/relationships/hyperlink" Target="https://ageconsearch.umn.edu/record/368218/files/Mahama4332025AJAEES131074.pdf" TargetMode="External"/><Relationship Id="rId97" Type="http://schemas.openxmlformats.org/officeDocument/2006/relationships/hyperlink" Target="https://www.graphic.com.gh/news/general-news/ghanan-news-disbursement-for-shea-collectors-begins-in-bimbilla-275-000-women-to-receive-eur13m-for-2026-season.html" TargetMode="External"/><Relationship Id="rId98" Type="http://schemas.openxmlformats.org/officeDocument/2006/relationships/hyperlink" Target="https://www.gov.uk/research-for-development-outputs/carbon-sequestration-potential-of-parkland-agroforestry-in-the-sahel" TargetMode="External"/><Relationship Id="rId99" Type="http://schemas.openxmlformats.org/officeDocument/2006/relationships/hyperlink" Target="https://sylvera.com/blog/q3-2025-carbon-data-snapshot" TargetMode="External"/><Relationship Id="rId100" Type="http://schemas.openxmlformats.org/officeDocument/2006/relationships/hyperlink" Target="https://www.gov.uk/research-for-development-outputs/carbon-sequestration-potential-of-parkland-agroforestry-in-the-sahel" TargetMode="External"/><Relationship Id="rId101" Type="http://schemas.openxmlformats.org/officeDocument/2006/relationships/hyperlink" Target="https://sylvera.com/blog/q3-2025-carbon-data-snapshot" TargetMode="External"/><Relationship Id="rId102" Type="http://schemas.openxmlformats.org/officeDocument/2006/relationships/hyperlink" Target="https://doaj.org/article/73e0ffab0b6a4dd882aaedcc6ee0e28b" TargetMode="External"/><Relationship Id="rId103" Type="http://schemas.openxmlformats.org/officeDocument/2006/relationships/hyperlink" Target="https://independent.academia.edu/DavidADAMON" TargetMode="External"/><Relationship Id="rId104" Type="http://schemas.openxmlformats.org/officeDocument/2006/relationships/hyperlink" Target="https://pdf.usaid.gov/pdf_docs/PA00TGBJ.pdf" TargetMode="External"/><Relationship Id="rId105" Type="http://schemas.openxmlformats.org/officeDocument/2006/relationships/hyperlink" Target="https://woodgas.com/wp-content/uploads/2022/08/Small-and-medium-pyrolysis-20-minutes-2022-08-30.pdf" TargetMode="External"/><Relationship Id="rId106" Type="http://schemas.openxmlformats.org/officeDocument/2006/relationships/hyperlink" Target="https://biochartoday.com/news/a-comparison-of-biochar-kilns-for-low-to-middle-income-countries/" TargetMode="External"/><Relationship Id="rId107" Type="http://schemas.openxmlformats.org/officeDocument/2006/relationships/hyperlink" Target="https://woodgas.com/wp-content/uploads/2022/08/Small-and-medium-pyrolysis-20-minutes-2022-08-30.pdf" TargetMode="External"/><Relationship Id="rId108" Type="http://schemas.openxmlformats.org/officeDocument/2006/relationships/hyperlink" Target="https://repository.tudelft.nl/file/File_b7e9c73e-a192-46b1-a108-a7af523df54a?preview=1" TargetMode="External"/><Relationship Id="rId109" Type="http://schemas.openxmlformats.org/officeDocument/2006/relationships/hyperlink" Target="https://biochartoday.com/news/traditional-kilns-boost-farmer-net-revenue-by-94-with-biochar/" TargetMode="External"/><Relationship Id="rId110" Type="http://schemas.openxmlformats.org/officeDocument/2006/relationships/hyperlink" Target="https://independent.academia.edu/DavidADAMON" TargetMode="External"/><Relationship Id="rId111" Type="http://schemas.openxmlformats.org/officeDocument/2006/relationships/hyperlink" Target="https://ghanacic.org/wp-content/uploads/2024/04/ECONOMIC-POTENTIAL-FOR-RESIDUAL-AGRO-AND-BIOMASS-FUELS-IN-GHANA_final.pdf" TargetMode="External"/><Relationship Id="rId112" Type="http://schemas.openxmlformats.org/officeDocument/2006/relationships/hyperlink" Target="https://carboncredits.com/?p=39628" TargetMode="External"/><Relationship Id="rId113" Type="http://schemas.openxmlformats.org/officeDocument/2006/relationships/hyperlink" Target="https://www.ieta.org/uploads/wp-content/2026/03/IETA_CMWG_BusinessBrief_Biochar_FinalJune2026.pdf" TargetMode="External"/><Relationship Id="rId114" Type="http://schemas.openxmlformats.org/officeDocument/2006/relationships/hyperlink" Target="https://www.senken.io/carbon-removal/biochar" TargetMode="External"/><Relationship Id="rId115" Type="http://schemas.openxmlformats.org/officeDocument/2006/relationships/hyperlink" Target="https://www.european-biochar.org/media/doc/2/artisan-c-sink-guidelines_v1_0.pdf" TargetMode="External"/><Relationship Id="rId116" Type="http://schemas.openxmlformats.org/officeDocument/2006/relationships/hyperlink" Target="https://www.tropentag.de/2024/abstracts/links/Lartey-Young_d3Kv4wqE.php" TargetMode="External"/><Relationship Id="rId117" Type="http://schemas.openxmlformats.org/officeDocument/2006/relationships/hyperlink" Target="https://www.globalgiving.org/pfil/39822/projdoc.pdf" TargetMode="External"/><Relationship Id="rId118" Type="http://schemas.openxmlformats.org/officeDocument/2006/relationships/hyperlink" Target="https://rise.esmap.org/data/files/library/burkina-faso/Clean%20Cooking/Burkina%20Faso_Impact%20assessment%20of%20improved%20cookstoves%20in%20Burkina%20Faso_2013.pdf" TargetMode="External"/><Relationship Id="rId119" Type="http://schemas.openxmlformats.org/officeDocument/2006/relationships/hyperlink" Target="https://globalshea.com/gsamain/storage/img/news/docs/TOR%20FOR%20SUPPLY%20OF%20ENERGY%20SAVING%20COOKSTOVES.docx.pdf" TargetMode="External"/><Relationship Id="rId120" Type="http://schemas.openxmlformats.org/officeDocument/2006/relationships/hyperlink" Target="https://www.avsf.org/app/uploads/2023/12/actions-innovantes_equite-_ugf_cnd_avsf_2019.pdf" TargetMode="External"/><Relationship Id="rId121" Type="http://schemas.openxmlformats.org/officeDocument/2006/relationships/hyperlink" Target="https://techxlab.org/solutions/envirofit-saverpro100-stove/" TargetMode="External"/><Relationship Id="rId122" Type="http://schemas.openxmlformats.org/officeDocument/2006/relationships/hyperlink" Target="https://files.acquia.undp.org/public/migration/gh/7edf98392d07687a6c332f8836d5f5378bbb4f2ffb5f1443d6ffdfbea6af7c58.pdf" TargetMode="External"/><Relationship Id="rId123" Type="http://schemas.openxmlformats.org/officeDocument/2006/relationships/hyperlink" Target="https://cpsm.cersgis.org/media/reports/End_of_2023_Charcoal_price_tracking_v2.pdf" TargetMode="External"/><Relationship Id="rId124" Type="http://schemas.openxmlformats.org/officeDocument/2006/relationships/hyperlink" Target="https://independent.academia.edu/DavidADAMON" TargetMode="External"/><Relationship Id="rId125" Type="http://schemas.openxmlformats.org/officeDocument/2006/relationships/hyperlink" Target="https://www.msci.com/research-and-insights/quick-take/clean-cooking-dominates-corsia-but-premium-faces-pressure" TargetMode="External"/><Relationship Id="rId126" Type="http://schemas.openxmlformats.org/officeDocument/2006/relationships/hyperlink" Target="https://icvcm.org/?p=9246" TargetMode="External"/><Relationship Id="rId127" Type="http://schemas.openxmlformats.org/officeDocument/2006/relationships/hyperlink" Target="https://ijid.kstu.edu.gh/index.php/ijid/article/download/33/29/111" TargetMode="External"/><Relationship Id="rId128" Type="http://schemas.openxmlformats.org/officeDocument/2006/relationships/hyperlink" Target="https://yen.com.gh/ghana/309707-what-ghc50000-cover-starting-a-building-project-ghana/" TargetMode="External"/><Relationship Id="rId129" Type="http://schemas.openxmlformats.org/officeDocument/2006/relationships/hyperlink" Target="https://assets.publishing.service.gov.uk/media/6034ee6c8fa8f54334a5a6a9/Cost_estimation_for_SUDS.pdf" TargetMode="External"/><Relationship Id="rId130" Type="http://schemas.openxmlformats.org/officeDocument/2006/relationships/hyperlink" Target="https://assets.publishing.service.gov.uk/media/68ef85ce2adc28a81b4ad0e9/FloodReadyReport-_an_action_plan_to_build_the_resilience_of_people_and_properties.pdf" TargetMode="External"/><Relationship Id="rId131" Type="http://schemas.openxmlformats.org/officeDocument/2006/relationships/hyperlink" Target="https://assets.publishing.service.gov.uk/media/6034ee6c8fa8f54334a5a6a9/Cost_estimation_for_SUDS.pdf" TargetMode="External"/><Relationship Id="rId132" Type="http://schemas.openxmlformats.org/officeDocument/2006/relationships/hyperlink" Target="https://ukgcc.com.gh/wp-content/uploads/2023/03/New-possibilities-for-solar-power-in-Ghana-2.pdf" TargetMode="External"/><Relationship Id="rId133" Type="http://schemas.openxmlformats.org/officeDocument/2006/relationships/hyperlink" Target="https://www.surgepv.com/blog/solar-incentives-in-ghana" TargetMode="External"/><Relationship Id="rId134" Type="http://schemas.openxmlformats.org/officeDocument/2006/relationships/hyperlink" Target="https://api.globalsolaratlas.info/data/lta?loc=5.67,0.00" TargetMode="External"/><Relationship Id="rId135" Type="http://schemas.openxmlformats.org/officeDocument/2006/relationships/hyperlink" Target="https://www.greenbuildingafrica.co.za/cross-boundary-gets-400kw-solar-pv-rooftop-project-over-the-line-in-ghana/" TargetMode="External"/><Relationship Id="rId136" Type="http://schemas.openxmlformats.org/officeDocument/2006/relationships/hyperlink" Target="https://purc.com.gh/attachment/346541-20260729120703.pdf" TargetMode="External"/><Relationship Id="rId137" Type="http://schemas.openxmlformats.org/officeDocument/2006/relationships/hyperlink" Target="https://www.myjoyonline.com/fuel-prices-to-rise-from-october-1-diesel-could-hit-gh&#162;19-60-comac/" TargetMode="External"/><Relationship Id="rId138" Type="http://schemas.openxmlformats.org/officeDocument/2006/relationships/hyperlink" Target="https://wpowerproducts.com/wp-content/uploads/2022/01/APPROXIMATE-FUEL-CONSUMPTION-CHART-Jan-2022.pdf" TargetMode="External"/><Relationship Id="rId139" Type="http://schemas.openxmlformats.org/officeDocument/2006/relationships/hyperlink" Target="https://www.energy-storage.news/?p=92133" TargetMode="External"/><Relationship Id="rId140" Type="http://schemas.openxmlformats.org/officeDocument/2006/relationships/hyperlink" Target="https://ideas.repec.org/a/spr/envsyd/v44y2024i1d10.1007_s10669-023-09925-y.html" TargetMode="External"/><Relationship Id="rId141" Type="http://schemas.openxmlformats.org/officeDocument/2006/relationships/hyperlink" Target="https://ideas.repec.org/a/spr/envsyd/v44y2024i1d10.1007_s10669-023-09925-y.html" TargetMode="External"/><Relationship Id="rId142" Type="http://schemas.openxmlformats.org/officeDocument/2006/relationships/hyperlink" Target="https://microdata.worldbank.org/catalog/6444" TargetMode="External"/><Relationship Id="rId143" Type="http://schemas.openxmlformats.org/officeDocument/2006/relationships/hyperlink" Target="https://renewableenergymagazine.com/pv_solar/daystar-power-expands-to-ghana-20190409" TargetMode="External"/><Relationship Id="rId144" Type="http://schemas.openxmlformats.org/officeDocument/2006/relationships/hyperlink" Target="https://jiji.com.gh/search?query=50kva%20diesel%20generator" TargetMode="External"/><Relationship Id="rId145" Type="http://schemas.openxmlformats.org/officeDocument/2006/relationships/hyperlink" Target="https://www.iea.org/policies/5646-net-metering-code" TargetMode="External"/><Relationship Id="rId146" Type="http://schemas.openxmlformats.org/officeDocument/2006/relationships/hyperlink" Target="https://link.springer.com/article/10.1007/s11746-012-2054-6" TargetMode="External"/><Relationship Id="rId147" Type="http://schemas.openxmlformats.org/officeDocument/2006/relationships/hyperlink" Target="https://www.tropentag.de/2022/abstracts/posters/179.pdf" TargetMode="External"/><Relationship Id="rId148" Type="http://schemas.openxmlformats.org/officeDocument/2006/relationships/hyperlink" Target="https://link.springer.com/article/10.1007/s11746-012-2054-6" TargetMode="External"/><Relationship Id="rId149" Type="http://schemas.openxmlformats.org/officeDocument/2006/relationships/hyperlink" Target="https://www.tropentag.de/2022/abstracts/posters/179.pdf" TargetMode="External"/><Relationship Id="rId150" Type="http://schemas.openxmlformats.org/officeDocument/2006/relationships/hyperlink" Target="https://m.indiamart.com/impcat/mango-butter.html" TargetMode="External"/><Relationship Id="rId151" Type="http://schemas.openxmlformats.org/officeDocument/2006/relationships/hyperlink" Target="https://fred.stlouisfed.org/series/DEXINUS" TargetMode="External"/><Relationship Id="rId152" Type="http://schemas.openxmlformats.org/officeDocument/2006/relationships/hyperlink" Target="https://m.indiamart.com/impcat/mango-kernel.html" TargetMode="External"/><Relationship Id="rId153" Type="http://schemas.openxmlformats.org/officeDocument/2006/relationships/hyperlink" Target="https://fred.stlouisfed.org/series/DEXINUS" TargetMode="External"/><Relationship Id="rId154" Type="http://schemas.openxmlformats.org/officeDocument/2006/relationships/hyperlink" Target="https://feedipedia.review.fao.org/node/516" TargetMode="External"/><Relationship Id="rId155" Type="http://schemas.openxmlformats.org/officeDocument/2006/relationships/hyperlink" Target="https://www.freshplaza.com/article/9744750/ghana-boosts-mango-supply-to-support-processing" TargetMode="External"/><Relationship Id="rId156" Type="http://schemas.openxmlformats.org/officeDocument/2006/relationships/hyperlink" Target="https://thedocs.worldbank.org/en/doc/74e8be41ceb20fa0da750cda2f6b9e4e-0050012026/related/CMO-Pink-Sheet-September-2026.pdf" TargetMode="External"/><Relationship Id="rId157" Type="http://schemas.openxmlformats.org/officeDocument/2006/relationships/hyperlink" Target="https://www.ocl-journal.org/articles/ocl/pdf/2009/02/ocl2009162p111.pdf" TargetMode="External"/><Relationship Id="rId158" Type="http://schemas.openxmlformats.org/officeDocument/2006/relationships/hyperlink" Target="https://www.greenclimate.fund/sites/default/files/document/fp137-interim-evaluation-report-pub.pdf" TargetMode="External"/><Relationship Id="rId159" Type="http://schemas.openxmlformats.org/officeDocument/2006/relationships/hyperlink" Target="https://www.greenclimate.fund/sites/default/files/documents/2026-10/gcf-fp137-apr-2025-v1.pdf" TargetMode="External"/><Relationship Id="rId160" Type="http://schemas.openxmlformats.org/officeDocument/2006/relationships/hyperlink" Target="https://www.greenclimate.fund/sites/default/files/documents/2026-10/gcf-fp137-apr-2025-v1.pdf" TargetMode="External"/><Relationship Id="rId161" Type="http://schemas.openxmlformats.org/officeDocument/2006/relationships/hyperlink" Target="https://www.undp.org/ghana/projects/ghana-shea-landscapes-emission-reductions-project-gslerp" TargetMode="External"/><Relationship Id="rId162" Type="http://schemas.openxmlformats.org/officeDocument/2006/relationships/hyperlink" Target="https://www.greenclimate.fund/sites/default/files/documents/2026-10/gcf-fp137-apr-2025-v1.pdf" TargetMode="External"/><Relationship Id="rId163" Type="http://schemas.openxmlformats.org/officeDocument/2006/relationships/hyperlink" Target="https://www.greenclimate.fund/sites/default/files/document/gcf-b26-02-add09.pdf" TargetMode="External"/><Relationship Id="rId164" Type="http://schemas.openxmlformats.org/officeDocument/2006/relationships/hyperlink" Target="https://www.fao.org/4/X3940E/X3940E04.htm" TargetMode="External"/><Relationship Id="rId165" Type="http://schemas.openxmlformats.org/officeDocument/2006/relationships/hyperlink" Target="https://graphic.com.gh/business/business-news/insuring-commercial-property-what-is-missing.html" TargetMode="External"/><Relationship Id="rId166" Type="http://schemas.openxmlformats.org/officeDocument/2006/relationships/hyperlink" Target="https://www.hollard.com.gh/general/business-insurance/commercial-assets-insurance/fire-insurance" TargetMode="External"/><Relationship Id="rId167" Type="http://schemas.openxmlformats.org/officeDocument/2006/relationships/hyperlink" Target="https://www.lombardins.com/wp-content/uploads/2025/09/Hollard-Business-vs-Lombard-Commercial-Auto-Provisions-and-Excesses-Comparison_FINAL.pdf" TargetMode="External"/><Relationship Id="rId168" Type="http://schemas.openxmlformats.org/officeDocument/2006/relationships/hyperlink" Target="https://www.lombardins.com/wp-content/uploads/2025/09/Hollard-Business-vs-Lombard-Commercial-Auto-Provisions-and-Excesses-Comparison_FINAL.pdf" TargetMode="External"/><Relationship Id="rId169" Type="http://schemas.openxmlformats.org/officeDocument/2006/relationships/hyperlink" Target="https://citinewsroom.com/2025/08/insurance-penetration-stalls-at-1-despite-density-gains/" TargetMode="External"/><Relationship Id="rId170" Type="http://schemas.openxmlformats.org/officeDocument/2006/relationships/hyperlink" Target="https://ukgcc.com.gh/bfd_download/new-changes-from-ghanas-insurance-act-2021-act-1061" TargetMode="External"/><Relationship Id="rId171" Type="http://schemas.openxmlformats.org/officeDocument/2006/relationships/hyperlink" Target="https://ownkey.com/gh/blog/borehole-drilling-ghana-guide" TargetMode="External"/><Relationship Id="rId172" Type="http://schemas.openxmlformats.org/officeDocument/2006/relationships/hyperlink" Target="https://www.undp.org/ghana/projects/ghana-shea-landscapes-emission-reductions-project-gslerp" TargetMode="External"/><Relationship Id="rId173" Type="http://schemas.openxmlformats.org/officeDocument/2006/relationships/hyperlink" Target="https://microdata.worldbank.org/catalog/6444" TargetMode="External"/><Relationship Id="rId174" Type="http://schemas.openxmlformats.org/officeDocument/2006/relationships/hyperlink" Target="https://energyforgrowth.org/article/how-can-small-and-medium-enterprises-cope-with-power-outages" TargetMode="External"/><Relationship Id="rId175" Type="http://schemas.openxmlformats.org/officeDocument/2006/relationships/hyperlink" Target="https://microdata.worldbank.org/catalog/6444" TargetMode="External"/><Relationship Id="rId176" Type="http://schemas.openxmlformats.org/officeDocument/2006/relationships/hyperlink" Target="https://www.energy-storage.news/?p=92133" TargetMode="External"/><Relationship Id="rId177" Type="http://schemas.openxmlformats.org/officeDocument/2006/relationships/hyperlink" Target="https://fred.stlouisfed.org/series/DEXUSEU" TargetMode="External"/><Relationship Id="rId178" Type="http://schemas.openxmlformats.org/officeDocument/2006/relationships/hyperlink" Target="https://fred.stlouisfed.org/series/DEXINUS" TargetMode="External"/><Relationship Id="rId179" Type="http://schemas.openxmlformats.org/officeDocument/2006/relationships/hyperlink" Target="https://hts.usitc.gov/reststop/search?keyword=3304.99.50" TargetMode="External"/><Relationship Id="rId180" Type="http://schemas.openxmlformats.org/officeDocument/2006/relationships/hyperlink" Target="https://en.wikipedia.org/wiki/Tariffs_in_the_second_Trump_administration" TargetMode="External"/><Relationship Id="rId181" Type="http://schemas.openxmlformats.org/officeDocument/2006/relationships/hyperlink" Target="https://en.wikipedia.org/wiki/African_Growth_and_Opportunity_Act" TargetMode="External"/><Relationship Id="rId182" Type="http://schemas.openxmlformats.org/officeDocument/2006/relationships/hyperlink" Target="https://sell.amazon.com/programs/warehousing" TargetMode="External"/><Relationship Id="rId183" Type="http://schemas.openxmlformats.org/officeDocument/2006/relationships/hyperlink" Target="https://sell.amazon.com/programs/warehousing" TargetMode="External"/><Relationship Id="rId184" Type="http://schemas.openxmlformats.org/officeDocument/2006/relationships/hyperlink" Target="https://sell.amazon.com/programs/warehousing" TargetMode="External"/><Relationship Id="rId185" Type="http://schemas.openxmlformats.org/officeDocument/2006/relationships/hyperlink" Target="https://sell.amazon.com/fulfillment-by-amazon" TargetMode="External"/><Relationship Id="rId186" Type="http://schemas.openxmlformats.org/officeDocument/2006/relationships/hyperlink" Target="https://sell.amazon.com/pricing" TargetMode="External"/><Relationship Id="rId187" Type="http://schemas.openxmlformats.org/officeDocument/2006/relationships/hyperlink" Target="https://sell.amazon.com/pricing" TargetMode="External"/><Relationship Id="rId188" Type="http://schemas.openxmlformats.org/officeDocument/2006/relationships/hyperlink" Target="https://doaj.org/article/73e0ffab0b6a4dd882aaedcc6ee0e28b" TargetMode="External"/><Relationship Id="rId189" Type="http://schemas.openxmlformats.org/officeDocument/2006/relationships/hyperlink" Target="https://www.tridge.com/market-overview/refined-shea-butter" TargetMode="External"/><Relationship Id="rId190" Type="http://schemas.openxmlformats.org/officeDocument/2006/relationships/hyperlink" Target="https://doaj.org/article/5092b417b85c425388272fd8bdc264e2" TargetMode="External"/><Relationship Id="rId191" Type="http://schemas.openxmlformats.org/officeDocument/2006/relationships/hyperlink" Target="https://doaj.org/article/5092b417b85c425388272fd8bdc264e2" TargetMode="External"/><Relationship Id="rId192" Type="http://schemas.openxmlformats.org/officeDocument/2006/relationships/hyperlink" Target="https://beesforbabar.org/photos_update_20260705.htm" TargetMode="External"/><Relationship Id="rId193" Type="http://schemas.openxmlformats.org/officeDocument/2006/relationships/hyperlink" Target="https://globalshea.com/gsamain/storage/img/news/docs/TOR%20FOR%20SUPPLY%20OF%20ENERGY%20SAVING%20COOKSTOVES.docx.pdf" TargetMode="External"/><Relationship Id="rId194" Type="http://schemas.openxmlformats.org/officeDocument/2006/relationships/hyperlink" Target="https://agrilinks.org/post/cocoa-farmers-ghana-show-strong-interest-solar-based-irrigation-pump-costs-are-often-too-high" TargetMode="External"/><Relationship Id="rId195" Type="http://schemas.openxmlformats.org/officeDocument/2006/relationships/hyperlink" Target="https://www.tropentag.de/2024/abstracts/links/Lartey-Young_d3Kv4wqE.php" TargetMode="External"/><Relationship Id="rId196" Type="http://schemas.openxmlformats.org/officeDocument/2006/relationships/hyperlink" Target="https://globalshea.com/gsamain/storage/img/news/docs/TOR%20FOR%20SUPPLY%20OF%20ENERGY%20SAVING%20COOKSTOVES.docx.pdf" TargetMode="External"/><Relationship Id="rId197" Type="http://schemas.openxmlformats.org/officeDocument/2006/relationships/hyperlink" Target="https://sell.amazon.com/pricing" TargetMode="External"/><Relationship Id="rId198" Type="http://schemas.openxmlformats.org/officeDocument/2006/relationships/drawing" Target="../drawings/drawing1.xml"/><Relationship Id="rId199"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hyperlink" Target="https://development.asia/summary/guidelines-economic-analysis-projects" TargetMode="External"/><Relationship Id="rId2" Type="http://schemas.openxmlformats.org/officeDocument/2006/relationships/hyperlink" Target="https://www.avsf.org/app/uploads/2023/12/actions-innovantes_equite-_ugf_cnd_avsf_2019.pdf" TargetMode="External"/><Relationship Id="rId3" Type="http://schemas.openxmlformats.org/officeDocument/2006/relationships/hyperlink" Target="https://independent.academia.edu/DavidADAMON" TargetMode="External"/><Relationship Id="rId4" Type="http://schemas.openxmlformats.org/officeDocument/2006/relationships/hyperlink" Target="https://agrilinks.org/post/cocoa-farmers-ghana-show-strong-interest-solar-based-irrigation-pump-costs-are-often-too-high" TargetMode="External"/><Relationship Id="rId5" Type="http://schemas.openxmlformats.org/officeDocument/2006/relationships/hyperlink" Target="https://doaj.org/article/73e0ffab0b6a4dd882aaedcc6ee0e28b" TargetMode="External"/><Relationship Id="rId6" Type="http://schemas.openxmlformats.org/officeDocument/2006/relationships/hyperlink" Target="https://allafrica.com/stories/202602110580.html" TargetMode="External"/><Relationship Id="rId7" Type="http://schemas.openxmlformats.org/officeDocument/2006/relationships/hyperlink" Target="https://allafrica.com/stories/202506110147.html" TargetMode="External"/><Relationship Id="rId8" Type="http://schemas.openxmlformats.org/officeDocument/2006/relationships/hyperlink" Target="https://sell.amazon.com/programs/warehousing" TargetMode="External"/><Relationship Id="rId9" Type="http://schemas.openxmlformats.org/officeDocument/2006/relationships/hyperlink" Target="https://sell.amazon.com/fulfillment-by-amazon" TargetMode="External"/><Relationship Id="rId10" Type="http://schemas.openxmlformats.org/officeDocument/2006/relationships/hyperlink" Target="https://sell.amazon.com/pricing" TargetMode="External"/><Relationship Id="rId11" Type="http://schemas.openxmlformats.org/officeDocument/2006/relationships/hyperlink" Target="https://www.etd.ceu.edu/2022/amegayie_amos.pdf" TargetMode="External"/><Relationship Id="rId12" Type="http://schemas.openxmlformats.org/officeDocument/2006/relationships/hyperlink" Target="https://woodgas.com/wp-content/uploads/2022/08/Small-and-medium-pyrolysis-20-minutes-2022-08-30.pdf" TargetMode="External"/><Relationship Id="rId13" Type="http://schemas.openxmlformats.org/officeDocument/2006/relationships/hyperlink" Target="https://ir.knust.edu.gh/items/55b8fbe9-58e6-4ed9-aedf-281400004a58/full" TargetMode="External"/><Relationship Id="rId14" Type="http://schemas.openxmlformats.org/officeDocument/2006/relationships/hyperlink" Target="https://audit.gov.gh/files/audit_reports/Performance_Audit_Report_Of_The_Auditor-General_On_Management_Of_The_Green_Ghana_Project_By_Ministry_Of_Lands_And_Natural_Resources.pdf" TargetMode="External"/><Relationship Id="rId15" Type="http://schemas.openxmlformats.org/officeDocument/2006/relationships/hyperlink" Target="https://core.ac.uk/display/385054" TargetMode="External"/><Relationship Id="rId16" Type="http://schemas.openxmlformats.org/officeDocument/2006/relationships/hyperlink" Target="https://www.energy-storage.news/?p=92133" TargetMode="External"/><Relationship Id="rId17" Type="http://schemas.openxmlformats.org/officeDocument/2006/relationships/hyperlink" Target="https://ir.knust.edu.gh/items/3dfcb635-4563-4fad-9e72-aba3d0115d5c/full" TargetMode="External"/><Relationship Id="rId18" Type="http://schemas.openxmlformats.org/officeDocument/2006/relationships/hyperlink" Target="https://www.tropentag.de/2022/abstracts/posters/179.pdf" TargetMode="External"/><Relationship Id="rId19" Type="http://schemas.openxmlformats.org/officeDocument/2006/relationships/hyperlink" Target="https://www.marketscreener.com/quote/stock/BARCLAYS-PLC-9583556/news/Ghana-s-cedi-set-to-weaken-sharply-as-gold-exports-plateau-and-spending-rises-Barclays-warns-50499015/" TargetMode="External"/><Relationship Id="rId20" Type="http://schemas.openxmlformats.org/officeDocument/2006/relationships/hyperlink" Target="https://www.beeculture.com/catch-buzz-ghana-wants-piece-global-honey-export-business-intends-fund-growth/" TargetMode="External"/><Relationship Id="rId21" Type="http://schemas.openxmlformats.org/officeDocument/2006/relationships/hyperlink" Target="https://beesforbabar.org/photos_update_20260705.htm" TargetMode="External"/><Relationship Id="rId22" Type="http://schemas.openxmlformats.org/officeDocument/2006/relationships/hyperlink" Target="https://biochartoday.com/news/a-comparison-of-biochar-kilns-for-low-to-middle-income-countries/" TargetMode="External"/><Relationship Id="rId23" Type="http://schemas.openxmlformats.org/officeDocument/2006/relationships/hyperlink" Target="https://biochartoday.com/news/traditional-kilns-boost-farmer-net-revenue-by-94-with-biochar/" TargetMode="External"/><Relationship Id="rId24" Type="http://schemas.openxmlformats.org/officeDocument/2006/relationships/hyperlink" Target="https://agris.fao.org/search/fr/records/65df45000f3e94b9e5d6cd8e" TargetMode="External"/><Relationship Id="rId25" Type="http://schemas.openxmlformats.org/officeDocument/2006/relationships/hyperlink" Target="https://www.ocl-journal.org/articles/ocl/pdf/2014/02/ocl130026.pdf" TargetMode="External"/><Relationship Id="rId26" Type="http://schemas.openxmlformats.org/officeDocument/2006/relationships/hyperlink" Target="https://cpsm.cersgis.org/media/reports/End_of_2023_Charcoal_price_tracking_v2.pdf" TargetMode="External"/><Relationship Id="rId27" Type="http://schemas.openxmlformats.org/officeDocument/2006/relationships/hyperlink" Target="https://www.crs.org/sites/default/files/2025-04/ReGreening%20Africa%20Case%20Study_final%20%281%29.pdf" TargetMode="External"/><Relationship Id="rId28" Type="http://schemas.openxmlformats.org/officeDocument/2006/relationships/hyperlink" Target="https://www.gcirc.org/fileadmin/documents/Proceedings/IRCPrague2011vol2/Oilmill_Refining_Process/1101-1104.pdf" TargetMode="External"/><Relationship Id="rId29" Type="http://schemas.openxmlformats.org/officeDocument/2006/relationships/hyperlink" Target="https://citinewsroom.com/2025/08/insurance-penetration-stalls-at-1-despite-density-gains/" TargetMode="External"/><Relationship Id="rId30" Type="http://schemas.openxmlformats.org/officeDocument/2006/relationships/hyperlink" Target="https://www.citinewsroom.com/2025/07/ghana-targets-640m-annual-revenue-from-shea-under-24-hour-economy-push/" TargetMode="External"/><Relationship Id="rId31" Type="http://schemas.openxmlformats.org/officeDocument/2006/relationships/hyperlink" Target="https://www.citinewsroom.com/?p=1369423" TargetMode="External"/><Relationship Id="rId32" Type="http://schemas.openxmlformats.org/officeDocument/2006/relationships/hyperlink" Target="https://link.springer.com/10.1186/s42408-023-00198-z" TargetMode="External"/><Relationship Id="rId33" Type="http://schemas.openxmlformats.org/officeDocument/2006/relationships/hyperlink" Target="https://pages.stern.nyu.edu/~adamodar/New_Home_Page/datafile/ctryprem.html" TargetMode="External"/><Relationship Id="rId34" Type="http://schemas.openxmlformats.org/officeDocument/2006/relationships/hyperlink" Target="https://www.darwininitiative.org.uk/documents/DAR30001/27704/30-001%20AR2%20-%20edited.pdf" TargetMode="External"/><Relationship Id="rId35" Type="http://schemas.openxmlformats.org/officeDocument/2006/relationships/hyperlink" Target="https://www.myjoyonline.com/cedi-to-end-year-at-gh&#162;12-20-to-a-us-dollar-databank-research/" TargetMode="External"/><Relationship Id="rId36" Type="http://schemas.openxmlformats.org/officeDocument/2006/relationships/hyperlink" Target="https://www.european-biochar.org/media/doc/2/artisan-c-sink-guidelines_v1_0.pdf" TargetMode="External"/><Relationship Id="rId37" Type="http://schemas.openxmlformats.org/officeDocument/2006/relationships/hyperlink" Target="https://rise.esmap.org/data/files/library/burkina-faso/Clean%20Cooking/Burkina%20Faso_Impact%20assessment%20of%20improved%20cookstoves%20in%20Burkina%20Faso_2013.pdf" TargetMode="External"/><Relationship Id="rId38" Type="http://schemas.openxmlformats.org/officeDocument/2006/relationships/hyperlink" Target="https://www.ecofinagency.com/news/2307-47810-ghana-to-revive-shea-processing-plant-with-4-million-injection" TargetMode="External"/><Relationship Id="rId39" Type="http://schemas.openxmlformats.org/officeDocument/2006/relationships/hyperlink" Target="https://www.ecofinagency.com/news-agriculture/1607-47708-shea-sector-west-africa-market-struggles-as-export-bans-expand" TargetMode="External"/><Relationship Id="rId40" Type="http://schemas.openxmlformats.org/officeDocument/2006/relationships/hyperlink" Target="https://energyforgrowth.org/article/how-can-small-and-medium-enterprises-cope-with-power-outages" TargetMode="External"/><Relationship Id="rId41" Type="http://schemas.openxmlformats.org/officeDocument/2006/relationships/hyperlink" Target="https://techxlab.org/solutions/envirofit-saverpro100-stove/" TargetMode="External"/><Relationship Id="rId42" Type="http://schemas.openxmlformats.org/officeDocument/2006/relationships/hyperlink" Target="https://www.fao.org/4/y5110e/y5110e07.htm" TargetMode="External"/><Relationship Id="rId43" Type="http://schemas.openxmlformats.org/officeDocument/2006/relationships/hyperlink" Target="https://www.fao.org/4/X3940E/X3940E09.htm" TargetMode="External"/><Relationship Id="rId44" Type="http://schemas.openxmlformats.org/officeDocument/2006/relationships/hyperlink" Target="https://www.fao.org/4/X3940E/X3940E04.htm" TargetMode="External"/><Relationship Id="rId45" Type="http://schemas.openxmlformats.org/officeDocument/2006/relationships/hyperlink" Target="https://fred.stlouisfed.org/series/DEXINUS" TargetMode="External"/><Relationship Id="rId46" Type="http://schemas.openxmlformats.org/officeDocument/2006/relationships/hyperlink" Target="https://fred.stlouisfed.org/series/DEXUSEU" TargetMode="External"/><Relationship Id="rId47" Type="http://schemas.openxmlformats.org/officeDocument/2006/relationships/hyperlink" Target="https://fred.stlouisfed.org/series/DGS10" TargetMode="External"/><Relationship Id="rId48" Type="http://schemas.openxmlformats.org/officeDocument/2006/relationships/hyperlink" Target="https://fsrp.org.gh/blog/From-Dry-Fields-To-Full-Baskets-%28How-Ghana%27s-Tomato-Farmers-Are-Re-writting-The-Dry-Season%29" TargetMode="External"/><Relationship Id="rId49" Type="http://schemas.openxmlformats.org/officeDocument/2006/relationships/hyperlink" Target="https://feedipedia.review.fao.org/node/516" TargetMode="External"/><Relationship Id="rId50" Type="http://schemas.openxmlformats.org/officeDocument/2006/relationships/hyperlink" Target="https://www.freshplaza.com/article/9744750/ghana-boosts-mango-supply-to-support-processing" TargetMode="External"/><Relationship Id="rId51" Type="http://schemas.openxmlformats.org/officeDocument/2006/relationships/hyperlink" Target="https://files.acquia.undp.org/public/migration/gh/7edf98392d07687a6c332f8836d5f5378bbb4f2ffb5f1443d6ffdfbea6af7c58.pdf" TargetMode="External"/><Relationship Id="rId52" Type="http://schemas.openxmlformats.org/officeDocument/2006/relationships/hyperlink" Target="https://www.greenclimate.fund/sites/default/files/document/gcf-b26-02-add09.pdf" TargetMode="External"/><Relationship Id="rId53" Type="http://schemas.openxmlformats.org/officeDocument/2006/relationships/hyperlink" Target="https://www.greenclimate.fund/sites/default/files/documents/2026-10/gcf-fp137-apr-2025-v1.pdf" TargetMode="External"/><Relationship Id="rId54" Type="http://schemas.openxmlformats.org/officeDocument/2006/relationships/hyperlink" Target="https://www.greenclimate.fund/sites/default/files/document/fp137-interim-evaluation-report-pub.pdf" TargetMode="External"/><Relationship Id="rId55" Type="http://schemas.openxmlformats.org/officeDocument/2006/relationships/hyperlink" Target="https://www.meteo.gov.gh/documents/12579/State_of_the_climate_Report_2025.pdf" TargetMode="External"/><Relationship Id="rId56" Type="http://schemas.openxmlformats.org/officeDocument/2006/relationships/hyperlink" Target="https://gna.org.gh/2024/06/accra-residents-experience-outages-four-times-a-week-iea-survey/" TargetMode="External"/><Relationship Id="rId57" Type="http://schemas.openxmlformats.org/officeDocument/2006/relationships/hyperlink" Target="https://gna.org.gh/2026/09/vice-president-opoku-agyemang-opens-world-shea-expo-2026-in-tamale/" TargetMode="External"/><Relationship Id="rId58" Type="http://schemas.openxmlformats.org/officeDocument/2006/relationships/hyperlink" Target="https://globalshea.com/gsamain/storage/img/news/docs/Finance%20Reimagined_%20A%20Replicable%20Model%20For%20Financing%20The%20Shea%20Industry%20(1).pdf" TargetMode="External"/><Relationship Id="rId59" Type="http://schemas.openxmlformats.org/officeDocument/2006/relationships/hyperlink" Target="https://globalshea.com/gsamain/storage/img/news/docs/TOR%20FOR%20SUPPLY%20OF%20ENERGY%20SAVING%20COOKSTOVES.docx.pdf" TargetMode="External"/><Relationship Id="rId60" Type="http://schemas.openxmlformats.org/officeDocument/2006/relationships/hyperlink" Target="https://www.myjoyonline.com/west-africa-losing-8-million-shea-trees-annually-global-shea-alliance-warns/" TargetMode="External"/><Relationship Id="rId61" Type="http://schemas.openxmlformats.org/officeDocument/2006/relationships/hyperlink" Target="https://www.gafonline.mil.gh/blog-details/eastern-naval-command-conducts-flood-rescues-in-tema" TargetMode="External"/><Relationship Id="rId62" Type="http://schemas.openxmlformats.org/officeDocument/2006/relationships/hyperlink" Target="https://ghanacic.org/wp-content/uploads/2024/04/ECONOMIC-POTENTIAL-FOR-RESIDUAL-AGRO-AND-BIOMASS-FUELS-IN-GHANA_final.pdf" TargetMode="External"/><Relationship Id="rId63" Type="http://schemas.openxmlformats.org/officeDocument/2006/relationships/hyperlink" Target="https://api.globalsolaratlas.info/data/lta?loc=5.67,0.00" TargetMode="External"/><Relationship Id="rId64" Type="http://schemas.openxmlformats.org/officeDocument/2006/relationships/hyperlink" Target="https://www.graphic.com.gh/daily-graphic-editorials/ghana-news-tree-planting-is-easy-nurturing-is-the-test.html" TargetMode="External"/><Relationship Id="rId65" Type="http://schemas.openxmlformats.org/officeDocument/2006/relationships/hyperlink" Target="https://www.graphic.com.gh/news/general-news/ghana-news-shea-butter-processing-facility-inaugurated-at-kpugi.html" TargetMode="External"/><Relationship Id="rId66" Type="http://schemas.openxmlformats.org/officeDocument/2006/relationships/hyperlink" Target="https://www.graphic.com.gh/business/business-news/fitch-upgrades-ghanas-sovereign-rating-as-debt-burden-eases.html" TargetMode="External"/><Relationship Id="rId67" Type="http://schemas.openxmlformats.org/officeDocument/2006/relationships/hyperlink" Target="https://www.graphic.com.gh/news/general-news/ghanan-news-disbursement-for-shea-collectors-begins-in-bimbilla-275-000-women-to-receive-eur13m-for-2026-season.html" TargetMode="External"/><Relationship Id="rId68" Type="http://schemas.openxmlformats.org/officeDocument/2006/relationships/hyperlink" Target="https://www.graphic.com.gh/features/features/bole-crig-develops-short-gestation-shea.html" TargetMode="External"/><Relationship Id="rId69" Type="http://schemas.openxmlformats.org/officeDocument/2006/relationships/hyperlink" Target="https://graphic.com.gh/business/business-news/insuring-commercial-property-what-is-missing.html" TargetMode="External"/><Relationship Id="rId70" Type="http://schemas.openxmlformats.org/officeDocument/2006/relationships/hyperlink" Target="https://www.graphic.com.gh/business/business-news/tcda-sets-gh-9-01-kg-as-minimum-producer-price-for-shea-nuts-from-july-1.html" TargetMode="External"/><Relationship Id="rId71" Type="http://schemas.openxmlformats.org/officeDocument/2006/relationships/hyperlink" Target="https://www.gulf-times.com/article/717500/international/africa/sellers-under-strain-in-ivory-coasts-struggling-shea-industry" TargetMode="External"/><Relationship Id="rId72" Type="http://schemas.openxmlformats.org/officeDocument/2006/relationships/hyperlink" Target="https://www.hollard.com.gh/general/business-insurance/commercial-assets-insurance/fire-insurance" TargetMode="External"/><Relationship Id="rId73" Type="http://schemas.openxmlformats.org/officeDocument/2006/relationships/hyperlink" Target="https://www.howwemadeitinafrica.com/ghana-company-sells-homegrown-shea-butter-to-unilever-and-loccitane/139951/" TargetMode="External"/><Relationship Id="rId74" Type="http://schemas.openxmlformats.org/officeDocument/2006/relationships/hyperlink" Target="https://apps.worldagroforestry.org/treedb2/speciesprofile.php?Spid=394" TargetMode="External"/><Relationship Id="rId75" Type="http://schemas.openxmlformats.org/officeDocument/2006/relationships/hyperlink" Target="https://icvcm.org/?p=9246" TargetMode="External"/><Relationship Id="rId76" Type="http://schemas.openxmlformats.org/officeDocument/2006/relationships/hyperlink" Target="https://www.iea.org/policies/5646-net-metering-code" TargetMode="External"/><Relationship Id="rId77" Type="http://schemas.openxmlformats.org/officeDocument/2006/relationships/hyperlink" Target="https://www.ieta.org/uploads/wp-content/2026/03/IETA_CMWG_BusinessBrief_Biochar_FinalJune2026.pdf" TargetMode="External"/><Relationship Id="rId78" Type="http://schemas.openxmlformats.org/officeDocument/2006/relationships/hyperlink" Target="https://ifdc.org/wp-content/uploads/2020/09/EnGRAIS_Port-Fact-Sheet-Tema_EN.pdf" TargetMode="External"/><Relationship Id="rId79" Type="http://schemas.openxmlformats.org/officeDocument/2006/relationships/hyperlink" Target="https://www.isd.gov.gh/government-builds-25-solar-boreholes-to-boost-vegetable-production-in-northern-ghana/" TargetMode="External"/><Relationship Id="rId80" Type="http://schemas.openxmlformats.org/officeDocument/2006/relationships/hyperlink" Target="https://borlaug.tamu.edu/wp-content/uploads/sites/3/2019/11/ilssi-technical-report-economic-analayis-ghana.pdf" TargetMode="External"/><Relationship Id="rId81" Type="http://schemas.openxmlformats.org/officeDocument/2006/relationships/hyperlink" Target="https://m.indiamart.com/impcat/beeswax.html" TargetMode="External"/><Relationship Id="rId82" Type="http://schemas.openxmlformats.org/officeDocument/2006/relationships/hyperlink" Target="https://m.indiamart.com/impcat/mango-butter.html" TargetMode="External"/><Relationship Id="rId83" Type="http://schemas.openxmlformats.org/officeDocument/2006/relationships/hyperlink" Target="https://m.indiamart.com/impcat/mango-kernel.html" TargetMode="External"/><Relationship Id="rId84" Type="http://schemas.openxmlformats.org/officeDocument/2006/relationships/hyperlink" Target="https://raw.githubusercontent.com/os-climate/physrisk/main/docs/user_guide/vulnerability/vulnerability_functions/inundation_jrc/raw.csv" TargetMode="External"/><Relationship Id="rId85" Type="http://schemas.openxmlformats.org/officeDocument/2006/relationships/hyperlink" Target="https://publications.jrc.ec.europa.eu/repository/handle/JRC105688" TargetMode="External"/><Relationship Id="rId86" Type="http://schemas.openxmlformats.org/officeDocument/2006/relationships/hyperlink" Target="https://ijsses.tiu.edu.iq/index.php/ijsses/article/view/468" TargetMode="External"/><Relationship Id="rId87" Type="http://schemas.openxmlformats.org/officeDocument/2006/relationships/hyperlink" Target="https://ir.knust.edu.gh/handle/123456789/8463" TargetMode="External"/><Relationship Id="rId88" Type="http://schemas.openxmlformats.org/officeDocument/2006/relationships/hyperlink" Target="https://jiji.com.gh/search?query=50kva%20diesel%20generator" TargetMode="External"/><Relationship Id="rId89" Type="http://schemas.openxmlformats.org/officeDocument/2006/relationships/hyperlink" Target="https://www.greenbuildingafrica.co.za/cross-boundary-gets-400kw-solar-pv-rooftop-project-over-the-line-in-ghana/" TargetMode="External"/><Relationship Id="rId90" Type="http://schemas.openxmlformats.org/officeDocument/2006/relationships/hyperlink" Target="https://repository.tudelft.nl/file/File_b7e9c73e-a192-46b1-a108-a7af523df54a?preview=1" TargetMode="External"/><Relationship Id="rId91" Type="http://schemas.openxmlformats.org/officeDocument/2006/relationships/hyperlink" Target="https://ijid.kstu.edu.gh/index.php/ijid/article/download/33/29/111" TargetMode="External"/><Relationship Id="rId92" Type="http://schemas.openxmlformats.org/officeDocument/2006/relationships/hyperlink" Target="https://lrrd.org/lrrd25/5/haft25086.htm" TargetMode="External"/><Relationship Id="rId93" Type="http://schemas.openxmlformats.org/officeDocument/2006/relationships/hyperlink" Target="https://revues.cirad.fr/index.php/fruits/article/download/35862/34641/37906" TargetMode="External"/><Relationship Id="rId94" Type="http://schemas.openxmlformats.org/officeDocument/2006/relationships/hyperlink" Target="https://fruits.edpsciences.org/articles/fruits/abs/2004/06/i4039/i4039.html" TargetMode="External"/><Relationship Id="rId95" Type="http://schemas.openxmlformats.org/officeDocument/2006/relationships/hyperlink" Target="https://www.tropentag.de/2024/abstracts/links/Lartey-Young_d3Kv4wqE.php" TargetMode="External"/><Relationship Id="rId96" Type="http://schemas.openxmlformats.org/officeDocument/2006/relationships/hyperlink" Target="https://www.lombardins.com/wp-content/uploads/2025/09/Hollard-Business-vs-Lombard-Commercial-Auto-Provisions-and-Excesses-Comparison_FINAL.pdf" TargetMode="External"/><Relationship Id="rId97" Type="http://schemas.openxmlformats.org/officeDocument/2006/relationships/hyperlink" Target="https://www.gov.uk/research-for-development-outputs/carbon-sequestration-potential-of-parkland-agroforestry-in-the-sahel" TargetMode="External"/><Relationship Id="rId98" Type="http://schemas.openxmlformats.org/officeDocument/2006/relationships/hyperlink" Target="https://www.msci.com/research-and-insights/quick-take/clean-cooking-dominates-corsia-but-premium-faces-pressure" TargetMode="External"/><Relationship Id="rId99" Type="http://schemas.openxmlformats.org/officeDocument/2006/relationships/hyperlink" Target="https://ageconsearch.umn.edu/record/368218/files/Mahama4332025AJAEES131074.pdf" TargetMode="External"/><Relationship Id="rId100" Type="http://schemas.openxmlformats.org/officeDocument/2006/relationships/hyperlink" Target="https://link.springer.com/article/10.1007/s11746-012-2054-6" TargetMode="External"/><Relationship Id="rId101" Type="http://schemas.openxmlformats.org/officeDocument/2006/relationships/hyperlink" Target="https://www.myjoyonline.com/?p=10047971" TargetMode="External"/><Relationship Id="rId102" Type="http://schemas.openxmlformats.org/officeDocument/2006/relationships/hyperlink" Target="https://www.myjoyonline.com/cedi-depreciates-by-9-5-in-nine-months-of-2026-bog/" TargetMode="External"/><Relationship Id="rId103" Type="http://schemas.openxmlformats.org/officeDocument/2006/relationships/hyperlink" Target="https://www.myjoyonline.com/fuel-prices-to-rise-from-october-1-diesel-could-hit-gh&#162;19-60-comac/" TargetMode="External"/><Relationship Id="rId104" Type="http://schemas.openxmlformats.org/officeDocument/2006/relationships/hyperlink" Target="https://doaj.org/article/5092b417b85c425388272fd8bdc264e2" TargetMode="External"/><Relationship Id="rId105" Type="http://schemas.openxmlformats.org/officeDocument/2006/relationships/hyperlink" Target="https://www.tropentag.de/2016/abstracts/pdf/1029.pdf" TargetMode="External"/><Relationship Id="rId106" Type="http://schemas.openxmlformats.org/officeDocument/2006/relationships/hyperlink" Target="https://ideas.repec.org/a/spr/envsyd/v44y2024i1d10.1007_s10669-023-09925-y.html" TargetMode="External"/><Relationship Id="rId107" Type="http://schemas.openxmlformats.org/officeDocument/2006/relationships/hyperlink" Target="https://www.globalgiving.org/pfil/39822/projdoc.pdf" TargetMode="External"/><Relationship Id="rId108" Type="http://schemas.openxmlformats.org/officeDocument/2006/relationships/hyperlink" Target="https://www.ocl-journal.org/articles/ocl/pdf/2009/02/ocl2009162p111.pdf" TargetMode="External"/><Relationship Id="rId109" Type="http://schemas.openxmlformats.org/officeDocument/2006/relationships/hyperlink" Target="https://ownkey.com/gh/blog/borehole-drilling-ghana-guide" TargetMode="External"/><Relationship Id="rId110" Type="http://schemas.openxmlformats.org/officeDocument/2006/relationships/hyperlink" Target="https://purc.com.gh/attachment/346541-20260729120703.pdf" TargetMode="External"/><Relationship Id="rId111" Type="http://schemas.openxmlformats.org/officeDocument/2006/relationships/hyperlink" Target="https://kolibri.teacherinabox.org.au/modules/en-practical_action/Crop%20processing/Nut%20Processing%20and%20Oil%20Extraction/KnO-100293_Shea%20nut%20processing.pdf" TargetMode="External"/><Relationship Id="rId112" Type="http://schemas.openxmlformats.org/officeDocument/2006/relationships/hyperlink" Target="https://taxsummaries.pwc.com/ghana/corporate/deductions" TargetMode="External"/><Relationship Id="rId113" Type="http://schemas.openxmlformats.org/officeDocument/2006/relationships/hyperlink" Target="https://taxsummaries.pwc.com/ghana/corporate/taxes-on-corporate-income" TargetMode="External"/><Relationship Id="rId114" Type="http://schemas.openxmlformats.org/officeDocument/2006/relationships/hyperlink" Target="https://taxsummaries.pwc.com/Ghana/Corporate/Tax-credits-and-incentives" TargetMode="External"/><Relationship Id="rId115" Type="http://schemas.openxmlformats.org/officeDocument/2006/relationships/hyperlink" Target="https://renewableenergymagazine.com/pv_solar/daystar-power-expands-to-ghana-20190409" TargetMode="External"/><Relationship Id="rId116" Type="http://schemas.openxmlformats.org/officeDocument/2006/relationships/hyperlink" Target="https://media.rufford.org/media/project_reports/12807-1%20Final%20Report.pdf" TargetMode="External"/><Relationship Id="rId117" Type="http://schemas.openxmlformats.org/officeDocument/2006/relationships/hyperlink" Target="https://carboncredits.com/?p=39628" TargetMode="External"/><Relationship Id="rId118" Type="http://schemas.openxmlformats.org/officeDocument/2006/relationships/hyperlink" Target="https://agritrop.cirad.fr/548895" TargetMode="External"/><Relationship Id="rId119" Type="http://schemas.openxmlformats.org/officeDocument/2006/relationships/hyperlink" Target="https://www.senken.io/carbon-removal/biochar" TargetMode="External"/><Relationship Id="rId120" Type="http://schemas.openxmlformats.org/officeDocument/2006/relationships/hyperlink" Target="https://starrfm.com.gh/may-18-floods-most-severe-in-5-years-in-parts-of-ghana-nadmo" TargetMode="External"/><Relationship Id="rId121" Type="http://schemas.openxmlformats.org/officeDocument/2006/relationships/hyperlink" Target="https://pollinationecology.org/index.php/jpe/article/download/473/158/1782" TargetMode="External"/><Relationship Id="rId122" Type="http://schemas.openxmlformats.org/officeDocument/2006/relationships/hyperlink" Target="https://www.surgepv.com/blog/solar-incentives-in-ghana" TargetMode="External"/><Relationship Id="rId123" Type="http://schemas.openxmlformats.org/officeDocument/2006/relationships/hyperlink" Target="https://sylvera.com/blog/q3-2025-carbon-data-snapshot" TargetMode="External"/><Relationship Id="rId124" Type="http://schemas.openxmlformats.org/officeDocument/2006/relationships/hyperlink" Target="https://www.tridge.com/intelligences/shea-butter/GH/price" TargetMode="External"/><Relationship Id="rId125" Type="http://schemas.openxmlformats.org/officeDocument/2006/relationships/hyperlink" Target="https://www.tridge.com/market-overview/refined-shea-butter" TargetMode="External"/><Relationship Id="rId126" Type="http://schemas.openxmlformats.org/officeDocument/2006/relationships/hyperlink" Target="https://assets.publishing.service.gov.uk/media/6034ee6c8fa8f54334a5a6a9/Cost_estimation_for_SUDS.pdf" TargetMode="External"/><Relationship Id="rId127" Type="http://schemas.openxmlformats.org/officeDocument/2006/relationships/hyperlink" Target="https://assets.publishing.service.gov.uk/media/68ef85ce2adc28a81b4ad0e9/FloodReadyReport-_an_action_plan_to_build_the_resilience_of_people_and_properties.pdf" TargetMode="External"/><Relationship Id="rId128" Type="http://schemas.openxmlformats.org/officeDocument/2006/relationships/hyperlink" Target="https://ukgcc.com.gh/wp-content/uploads/2023/03/New-possibilities-for-solar-power-in-Ghana-2.pdf" TargetMode="External"/><Relationship Id="rId129" Type="http://schemas.openxmlformats.org/officeDocument/2006/relationships/hyperlink" Target="https://ukgcc.com.gh/bfd_download/new-changes-from-ghanas-insurance-act-2021-act-1061" TargetMode="External"/><Relationship Id="rId130" Type="http://schemas.openxmlformats.org/officeDocument/2006/relationships/hyperlink" Target="https://www.undp.org/node/416886" TargetMode="External"/><Relationship Id="rId131" Type="http://schemas.openxmlformats.org/officeDocument/2006/relationships/hyperlink" Target="https://www.undp.org/ghana/projects/ghana-shea-landscapes-emission-reductions-project-gslerp" TargetMode="External"/><Relationship Id="rId132" Type="http://schemas.openxmlformats.org/officeDocument/2006/relationships/hyperlink" Target="https://hts.usitc.gov/reststop/search?keyword=3304.99.50" TargetMode="External"/><Relationship Id="rId133" Type="http://schemas.openxmlformats.org/officeDocument/2006/relationships/hyperlink" Target="https://pdf.usaid.gov/pdf_docs/PA00T98B.pdf" TargetMode="External"/><Relationship Id="rId134" Type="http://schemas.openxmlformats.org/officeDocument/2006/relationships/hyperlink" Target="https://pdf.usaid.gov/pdf_docs/PA00TGBJ.pdf" TargetMode="External"/><Relationship Id="rId135" Type="http://schemas.openxmlformats.org/officeDocument/2006/relationships/hyperlink" Target="https://wpowerproducts.com/wp-content/uploads/2022/01/APPROXIMATE-FUEL-CONSUMPTION-CHART-Jan-2022.pdf" TargetMode="External"/><Relationship Id="rId136" Type="http://schemas.openxmlformats.org/officeDocument/2006/relationships/hyperlink" Target="https://en.wikipedia.org/wiki/African_Growth_and_Opportunity_Act" TargetMode="External"/><Relationship Id="rId137" Type="http://schemas.openxmlformats.org/officeDocument/2006/relationships/hyperlink" Target="https://en.wikipedia.org/wiki/Tariffs_in_the_second_Trump_administration" TargetMode="External"/><Relationship Id="rId138" Type="http://schemas.openxmlformats.org/officeDocument/2006/relationships/hyperlink" Target="https://microdata.worldbank.org/catalog/6444" TargetMode="External"/><Relationship Id="rId139" Type="http://schemas.openxmlformats.org/officeDocument/2006/relationships/hyperlink" Target="https://thedocs.worldbank.org/en/doc/74e8be41ceb20fa0da750cda2f6b9e4e-0050012026/related/CMO-Pink-Sheet-September-2026.pdf" TargetMode="External"/><Relationship Id="rId140" Type="http://schemas.openxmlformats.org/officeDocument/2006/relationships/hyperlink" Target="https://yen.com.gh/ghana/309707-what-ghc50000-cover-starting-a-building-project-ghana/" TargetMode="External"/>
</Relationships>
</file>

<file path=xl/worksheets/_rels/sheet1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10"/>
  </cols>
  <sheetData>
    <row r="1" customFormat="false" ht="19.5" hidden="false" customHeight="true" outlineLevel="0" collapsed="false">
      <c r="A1" s="2" t="s">
        <v>0</v>
      </c>
    </row>
    <row r="3" customFormat="false" ht="45" hidden="false" customHeight="true" outlineLevel="0" collapsed="false">
      <c r="A3" s="3" t="s">
        <v>1</v>
      </c>
      <c r="B3" s="4" t="s">
        <v>2</v>
      </c>
    </row>
    <row r="4" customFormat="false" ht="45" hidden="false" customHeight="true" outlineLevel="0" collapsed="false">
      <c r="A4" s="3" t="s">
        <v>3</v>
      </c>
      <c r="B4" s="4" t="s">
        <v>4</v>
      </c>
    </row>
    <row r="5" customFormat="false" ht="45" hidden="false" customHeight="true" outlineLevel="0" collapsed="false">
      <c r="A5" s="3" t="s">
        <v>5</v>
      </c>
      <c r="B5" s="4" t="s">
        <v>6</v>
      </c>
    </row>
    <row r="6" customFormat="false" ht="45" hidden="false" customHeight="true" outlineLevel="0" collapsed="false">
      <c r="A6" s="3" t="s">
        <v>7</v>
      </c>
      <c r="B6" s="4" t="s">
        <v>8</v>
      </c>
    </row>
    <row r="7" customFormat="false" ht="45" hidden="false" customHeight="true" outlineLevel="0" collapsed="false">
      <c r="A7" s="3" t="s">
        <v>9</v>
      </c>
      <c r="B7" s="4" t="s">
        <v>10</v>
      </c>
    </row>
    <row r="8" customFormat="false" ht="45" hidden="false" customHeight="true" outlineLevel="0" collapsed="false">
      <c r="A8" s="3" t="s">
        <v>11</v>
      </c>
      <c r="B8" s="4" t="s">
        <v>12</v>
      </c>
    </row>
    <row r="9" customFormat="false" ht="45" hidden="false" customHeight="true" outlineLevel="0" collapsed="false">
      <c r="A9" s="3" t="s">
        <v>13</v>
      </c>
      <c r="B9" s="4" t="s">
        <v>14</v>
      </c>
    </row>
    <row r="10" customFormat="false" ht="45" hidden="false" customHeight="true" outlineLevel="0" collapsed="false">
      <c r="A10" s="3" t="s">
        <v>15</v>
      </c>
      <c r="B10" s="4" t="s">
        <v>16</v>
      </c>
    </row>
    <row r="11" customFormat="false" ht="45" hidden="false" customHeight="true" outlineLevel="0" collapsed="false">
      <c r="A11" s="3" t="s">
        <v>17</v>
      </c>
      <c r="B11" s="4" t="s">
        <v>18</v>
      </c>
    </row>
    <row r="12" customFormat="false" ht="45" hidden="false" customHeight="true" outlineLevel="0" collapsed="false">
      <c r="A12" s="3" t="s">
        <v>19</v>
      </c>
      <c r="B12" s="4" t="s">
        <v>20</v>
      </c>
    </row>
    <row r="13" customFormat="false" ht="45" hidden="false" customHeight="true" outlineLevel="0" collapsed="false">
      <c r="A13" s="3" t="s">
        <v>21</v>
      </c>
      <c r="B13"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44"/>
    <col collapsed="false" customWidth="true" hidden="false" outlineLevel="0" max="4" min="4" style="1" width="16"/>
    <col collapsed="false" customWidth="true" hidden="false" outlineLevel="0" max="7" min="5" style="1" width="11"/>
    <col collapsed="false" customWidth="true" hidden="false" outlineLevel="0" max="8" min="8" style="1" width="7"/>
    <col collapsed="false" customWidth="true" hidden="false" outlineLevel="0" max="9" min="9" style="1" width="13"/>
    <col collapsed="false" customWidth="true" hidden="false" outlineLevel="0" max="10" min="10" style="1" width="20"/>
    <col collapsed="false" customWidth="true" hidden="false" outlineLevel="0" max="11" min="11" style="1" width="12"/>
    <col collapsed="false" customWidth="true" hidden="false" outlineLevel="0" max="12" min="12" style="1" width="70"/>
    <col collapsed="false" customWidth="true" hidden="false" outlineLevel="0" max="13" min="13" style="1" width="50"/>
    <col collapsed="false" customWidth="true" hidden="false" outlineLevel="0" max="14" min="14" style="1" width="28"/>
    <col collapsed="false" customWidth="true" hidden="false" outlineLevel="0" max="15" min="15" style="1" width="40"/>
    <col collapsed="false" customWidth="true" hidden="false" outlineLevel="0" max="16" min="16" style="1" width="50"/>
    <col collapsed="false" customWidth="true" hidden="false" outlineLevel="0" max="17" min="17" style="1" width="28"/>
    <col collapsed="false" customWidth="true" hidden="false" outlineLevel="0" max="18" min="18" style="1" width="40"/>
    <col collapsed="false" customWidth="true" hidden="false" outlineLevel="0" max="19" min="19" style="1" width="50"/>
    <col collapsed="false" customWidth="true" hidden="false" outlineLevel="0" max="20" min="20" style="1" width="28"/>
    <col collapsed="false" customWidth="true" hidden="false" outlineLevel="0" max="21" min="21" style="1" width="40"/>
    <col collapsed="false" customWidth="true" hidden="false" outlineLevel="0" max="22" min="22" style="1" width="50"/>
  </cols>
  <sheetData>
    <row r="1" customFormat="false" ht="17.25" hidden="false" customHeight="true" outlineLevel="0" collapsed="false">
      <c r="A1" s="5" t="s">
        <v>23</v>
      </c>
    </row>
    <row r="2" customFormat="false" ht="15" hidden="false" customHeight="true" outlineLevel="0" collapsed="false">
      <c r="A2" s="6" t="s">
        <v>24</v>
      </c>
    </row>
    <row r="4" customFormat="false" ht="26.25" hidden="false" customHeight="true" outlineLevel="0" collapsed="false">
      <c r="A4" s="7" t="s">
        <v>25</v>
      </c>
      <c r="B4" s="7" t="s">
        <v>26</v>
      </c>
      <c r="C4" s="7" t="s">
        <v>27</v>
      </c>
      <c r="D4" s="7" t="s">
        <v>28</v>
      </c>
      <c r="E4" s="7" t="s">
        <v>29</v>
      </c>
      <c r="F4" s="7" t="s">
        <v>30</v>
      </c>
      <c r="G4" s="7" t="s">
        <v>31</v>
      </c>
      <c r="H4" s="7" t="s">
        <v>32</v>
      </c>
      <c r="I4" s="7" t="s">
        <v>33</v>
      </c>
      <c r="J4" s="7" t="s">
        <v>34</v>
      </c>
      <c r="K4" s="7" t="s">
        <v>35</v>
      </c>
      <c r="L4" s="7" t="s">
        <v>36</v>
      </c>
      <c r="M4" s="7" t="s">
        <v>37</v>
      </c>
      <c r="N4" s="7" t="s">
        <v>38</v>
      </c>
      <c r="O4" s="7" t="s">
        <v>39</v>
      </c>
      <c r="P4" s="7" t="s">
        <v>40</v>
      </c>
      <c r="Q4" s="7" t="s">
        <v>41</v>
      </c>
      <c r="R4" s="7" t="s">
        <v>42</v>
      </c>
      <c r="S4" s="7" t="s">
        <v>43</v>
      </c>
      <c r="T4" s="7" t="s">
        <v>44</v>
      </c>
      <c r="U4" s="7" t="s">
        <v>45</v>
      </c>
      <c r="V4" s="7" t="s">
        <v>46</v>
      </c>
    </row>
    <row r="5" customFormat="false" ht="64.5" hidden="false" customHeight="true" outlineLevel="0" collapsed="false">
      <c r="A5" s="8" t="s">
        <v>47</v>
      </c>
      <c r="B5" s="9" t="s">
        <v>48</v>
      </c>
      <c r="C5" s="9" t="s">
        <v>49</v>
      </c>
      <c r="D5" s="9" t="s">
        <v>50</v>
      </c>
      <c r="E5" s="10" t="n">
        <v>0.09</v>
      </c>
      <c r="F5" s="10" t="n">
        <v>0.13</v>
      </c>
      <c r="G5" s="10" t="n">
        <v>0.17</v>
      </c>
      <c r="H5" s="11" t="s">
        <v>51</v>
      </c>
      <c r="I5" s="12" t="n">
        <f aca="false">IF(H5="L",E5,IF(H5="H",G5,F5))</f>
        <v>0.13</v>
      </c>
      <c r="J5" s="13" t="s">
        <v>52</v>
      </c>
      <c r="K5" s="9" t="s">
        <v>53</v>
      </c>
      <c r="L5" s="14" t="s">
        <v>54</v>
      </c>
      <c r="M5" s="14" t="s">
        <v>55</v>
      </c>
      <c r="N5" s="9" t="s">
        <v>56</v>
      </c>
      <c r="O5" s="15" t="s">
        <v>57</v>
      </c>
      <c r="P5" s="14" t="s">
        <v>58</v>
      </c>
      <c r="Q5" s="9" t="s">
        <v>59</v>
      </c>
      <c r="R5" s="15" t="s">
        <v>60</v>
      </c>
      <c r="S5" s="14" t="s">
        <v>61</v>
      </c>
      <c r="T5" s="9" t="s">
        <v>62</v>
      </c>
      <c r="U5" s="15" t="s">
        <v>63</v>
      </c>
      <c r="V5" s="14" t="s">
        <v>64</v>
      </c>
    </row>
    <row r="6" customFormat="false" ht="26.25" hidden="false" customHeight="true" outlineLevel="0" collapsed="false">
      <c r="A6" s="8" t="s">
        <v>65</v>
      </c>
      <c r="B6" s="9" t="s">
        <v>48</v>
      </c>
      <c r="C6" s="9" t="s">
        <v>66</v>
      </c>
      <c r="D6" s="9" t="s">
        <v>67</v>
      </c>
      <c r="E6" s="16" t="n">
        <v>20</v>
      </c>
      <c r="F6" s="16" t="n">
        <v>20</v>
      </c>
      <c r="G6" s="16" t="n">
        <v>20</v>
      </c>
      <c r="H6" s="11" t="s">
        <v>51</v>
      </c>
      <c r="I6" s="17" t="n">
        <f aca="false">IF(H6="L",E6,IF(H6="H",G6,F6))</f>
        <v>20</v>
      </c>
      <c r="J6" s="13" t="s">
        <v>52</v>
      </c>
      <c r="K6" s="9" t="s">
        <v>68</v>
      </c>
      <c r="L6" s="14" t="s">
        <v>69</v>
      </c>
      <c r="M6" s="18"/>
      <c r="N6" s="9" t="s">
        <v>70</v>
      </c>
      <c r="O6" s="15" t="s">
        <v>71</v>
      </c>
      <c r="P6" s="14" t="s">
        <v>72</v>
      </c>
      <c r="Q6" s="9" t="s">
        <v>73</v>
      </c>
      <c r="R6" s="15" t="s">
        <v>74</v>
      </c>
      <c r="S6" s="14" t="s">
        <v>75</v>
      </c>
      <c r="T6" s="19"/>
      <c r="U6" s="19"/>
      <c r="V6" s="19"/>
    </row>
    <row r="7" customFormat="false" ht="26.25" hidden="false" customHeight="true" outlineLevel="0" collapsed="false">
      <c r="A7" s="8" t="s">
        <v>76</v>
      </c>
      <c r="B7" s="9" t="s">
        <v>48</v>
      </c>
      <c r="C7" s="9" t="s">
        <v>77</v>
      </c>
      <c r="D7" s="9" t="s">
        <v>67</v>
      </c>
      <c r="E7" s="16" t="n">
        <v>30</v>
      </c>
      <c r="F7" s="16" t="n">
        <v>30</v>
      </c>
      <c r="G7" s="16" t="n">
        <v>30</v>
      </c>
      <c r="H7" s="11" t="s">
        <v>51</v>
      </c>
      <c r="I7" s="17" t="n">
        <f aca="false">IF(H7="L",E7,IF(H7="H",G7,F7))</f>
        <v>30</v>
      </c>
      <c r="J7" s="13" t="s">
        <v>52</v>
      </c>
      <c r="K7" s="9" t="s">
        <v>68</v>
      </c>
      <c r="L7" s="14" t="s">
        <v>69</v>
      </c>
      <c r="M7" s="18"/>
      <c r="N7" s="9" t="s">
        <v>70</v>
      </c>
      <c r="O7" s="15" t="s">
        <v>71</v>
      </c>
      <c r="P7" s="14" t="s">
        <v>72</v>
      </c>
      <c r="Q7" s="9" t="s">
        <v>73</v>
      </c>
      <c r="R7" s="15" t="s">
        <v>74</v>
      </c>
      <c r="S7" s="14" t="s">
        <v>75</v>
      </c>
      <c r="T7" s="19"/>
      <c r="U7" s="19"/>
      <c r="V7" s="19"/>
    </row>
    <row r="8" customFormat="false" ht="26.25" hidden="false" customHeight="true" outlineLevel="0" collapsed="false">
      <c r="A8" s="8" t="s">
        <v>78</v>
      </c>
      <c r="B8" s="9" t="s">
        <v>48</v>
      </c>
      <c r="C8" s="9" t="s">
        <v>79</v>
      </c>
      <c r="D8" s="9" t="s">
        <v>80</v>
      </c>
      <c r="E8" s="20" t="n">
        <v>10.5</v>
      </c>
      <c r="F8" s="20" t="n">
        <v>11.6</v>
      </c>
      <c r="G8" s="20" t="n">
        <v>14.5</v>
      </c>
      <c r="H8" s="11" t="s">
        <v>51</v>
      </c>
      <c r="I8" s="21" t="n">
        <f aca="false">IF(H8="L",E8,IF(H8="H",G8,F8))</f>
        <v>11.6</v>
      </c>
      <c r="J8" s="22" t="s">
        <v>81</v>
      </c>
      <c r="K8" s="9" t="s">
        <v>53</v>
      </c>
      <c r="L8" s="14" t="s">
        <v>82</v>
      </c>
      <c r="M8" s="18"/>
      <c r="N8" s="9" t="s">
        <v>83</v>
      </c>
      <c r="O8" s="15" t="s">
        <v>84</v>
      </c>
      <c r="P8" s="14" t="s">
        <v>85</v>
      </c>
      <c r="Q8" s="9" t="s">
        <v>86</v>
      </c>
      <c r="R8" s="15" t="s">
        <v>87</v>
      </c>
      <c r="S8" s="14" t="s">
        <v>88</v>
      </c>
      <c r="T8" s="9" t="s">
        <v>89</v>
      </c>
      <c r="U8" s="15" t="s">
        <v>90</v>
      </c>
      <c r="V8" s="14" t="s">
        <v>91</v>
      </c>
    </row>
    <row r="9" customFormat="false" ht="51.75" hidden="false" customHeight="true" outlineLevel="0" collapsed="false">
      <c r="A9" s="8" t="s">
        <v>92</v>
      </c>
      <c r="B9" s="9" t="s">
        <v>48</v>
      </c>
      <c r="C9" s="9" t="s">
        <v>93</v>
      </c>
      <c r="D9" s="9" t="s">
        <v>67</v>
      </c>
      <c r="E9" s="16" t="n">
        <v>10</v>
      </c>
      <c r="F9" s="16" t="n">
        <v>10</v>
      </c>
      <c r="G9" s="16" t="n">
        <v>10</v>
      </c>
      <c r="H9" s="11" t="s">
        <v>51</v>
      </c>
      <c r="I9" s="17" t="n">
        <f aca="false">IF(H9="L",E9,IF(H9="H",G9,F9))</f>
        <v>10</v>
      </c>
      <c r="J9" s="22" t="s">
        <v>81</v>
      </c>
      <c r="K9" s="9" t="s">
        <v>53</v>
      </c>
      <c r="L9" s="14" t="s">
        <v>94</v>
      </c>
      <c r="M9" s="14" t="s">
        <v>95</v>
      </c>
      <c r="N9" s="9" t="s">
        <v>96</v>
      </c>
      <c r="O9" s="15" t="s">
        <v>97</v>
      </c>
      <c r="P9" s="14" t="s">
        <v>98</v>
      </c>
      <c r="Q9" s="9" t="s">
        <v>99</v>
      </c>
      <c r="R9" s="15" t="s">
        <v>100</v>
      </c>
      <c r="S9" s="14" t="s">
        <v>101</v>
      </c>
      <c r="T9" s="19"/>
      <c r="U9" s="19"/>
      <c r="V9" s="19"/>
    </row>
    <row r="10" customFormat="false" ht="51.75" hidden="false" customHeight="true" outlineLevel="0" collapsed="false">
      <c r="A10" s="8" t="s">
        <v>102</v>
      </c>
      <c r="B10" s="9" t="s">
        <v>48</v>
      </c>
      <c r="C10" s="9" t="s">
        <v>103</v>
      </c>
      <c r="D10" s="9" t="s">
        <v>50</v>
      </c>
      <c r="E10" s="10" t="n">
        <v>0.15</v>
      </c>
      <c r="F10" s="10" t="n">
        <v>0.15</v>
      </c>
      <c r="G10" s="10" t="n">
        <v>0.15</v>
      </c>
      <c r="H10" s="11" t="s">
        <v>51</v>
      </c>
      <c r="I10" s="12" t="n">
        <f aca="false">IF(H10="L",E10,IF(H10="H",G10,F10))</f>
        <v>0.15</v>
      </c>
      <c r="J10" s="22" t="s">
        <v>81</v>
      </c>
      <c r="K10" s="9" t="s">
        <v>53</v>
      </c>
      <c r="L10" s="14" t="s">
        <v>94</v>
      </c>
      <c r="M10" s="14" t="s">
        <v>95</v>
      </c>
      <c r="N10" s="9" t="s">
        <v>96</v>
      </c>
      <c r="O10" s="15" t="s">
        <v>97</v>
      </c>
      <c r="P10" s="14" t="s">
        <v>98</v>
      </c>
      <c r="Q10" s="9" t="s">
        <v>99</v>
      </c>
      <c r="R10" s="15" t="s">
        <v>100</v>
      </c>
      <c r="S10" s="14" t="s">
        <v>101</v>
      </c>
      <c r="T10" s="19"/>
      <c r="U10" s="19"/>
      <c r="V10" s="19"/>
    </row>
    <row r="11" customFormat="false" ht="51.75" hidden="false" customHeight="true" outlineLevel="0" collapsed="false">
      <c r="A11" s="8" t="s">
        <v>104</v>
      </c>
      <c r="B11" s="9" t="s">
        <v>48</v>
      </c>
      <c r="C11" s="9" t="s">
        <v>105</v>
      </c>
      <c r="D11" s="9" t="s">
        <v>50</v>
      </c>
      <c r="E11" s="10" t="n">
        <v>0.25</v>
      </c>
      <c r="F11" s="10" t="n">
        <v>0.25</v>
      </c>
      <c r="G11" s="10" t="n">
        <v>0.25</v>
      </c>
      <c r="H11" s="11" t="s">
        <v>51</v>
      </c>
      <c r="I11" s="12" t="n">
        <f aca="false">IF(H11="L",E11,IF(H11="H",G11,F11))</f>
        <v>0.25</v>
      </c>
      <c r="J11" s="22" t="s">
        <v>81</v>
      </c>
      <c r="K11" s="9" t="s">
        <v>53</v>
      </c>
      <c r="L11" s="14" t="s">
        <v>94</v>
      </c>
      <c r="M11" s="14" t="s">
        <v>95</v>
      </c>
      <c r="N11" s="9" t="s">
        <v>96</v>
      </c>
      <c r="O11" s="15" t="s">
        <v>97</v>
      </c>
      <c r="P11" s="14" t="s">
        <v>98</v>
      </c>
      <c r="Q11" s="9" t="s">
        <v>99</v>
      </c>
      <c r="R11" s="15" t="s">
        <v>100</v>
      </c>
      <c r="S11" s="14" t="s">
        <v>101</v>
      </c>
      <c r="T11" s="19"/>
      <c r="U11" s="19"/>
      <c r="V11" s="19"/>
    </row>
    <row r="12" customFormat="false" ht="39" hidden="false" customHeight="true" outlineLevel="0" collapsed="false">
      <c r="A12" s="8" t="s">
        <v>106</v>
      </c>
      <c r="B12" s="9" t="s">
        <v>48</v>
      </c>
      <c r="C12" s="9" t="s">
        <v>107</v>
      </c>
      <c r="D12" s="9" t="s">
        <v>50</v>
      </c>
      <c r="E12" s="10" t="n">
        <v>0.7</v>
      </c>
      <c r="F12" s="10" t="n">
        <v>0.85</v>
      </c>
      <c r="G12" s="10" t="n">
        <v>1</v>
      </c>
      <c r="H12" s="11" t="s">
        <v>51</v>
      </c>
      <c r="I12" s="12" t="n">
        <f aca="false">IF(H12="L",E12,IF(H12="H",G12,F12))</f>
        <v>0.85</v>
      </c>
      <c r="J12" s="23" t="s">
        <v>108</v>
      </c>
      <c r="K12" s="9" t="s">
        <v>109</v>
      </c>
      <c r="L12" s="14" t="s">
        <v>110</v>
      </c>
      <c r="M12" s="18"/>
      <c r="N12" s="9" t="s">
        <v>99</v>
      </c>
      <c r="O12" s="15" t="s">
        <v>97</v>
      </c>
      <c r="P12" s="14" t="s">
        <v>111</v>
      </c>
      <c r="Q12" s="19"/>
      <c r="R12" s="19"/>
      <c r="S12" s="19"/>
      <c r="T12" s="19"/>
      <c r="U12" s="19"/>
      <c r="V12" s="19"/>
    </row>
    <row r="13" customFormat="false" ht="39" hidden="false" customHeight="true" outlineLevel="0" collapsed="false">
      <c r="A13" s="8" t="s">
        <v>112</v>
      </c>
      <c r="B13" s="9" t="s">
        <v>48</v>
      </c>
      <c r="C13" s="9" t="s">
        <v>113</v>
      </c>
      <c r="D13" s="9" t="s">
        <v>114</v>
      </c>
      <c r="E13" s="10" t="n">
        <v>0.3</v>
      </c>
      <c r="F13" s="10" t="n">
        <v>0.3</v>
      </c>
      <c r="G13" s="10" t="n">
        <v>0.3</v>
      </c>
      <c r="H13" s="11" t="s">
        <v>51</v>
      </c>
      <c r="I13" s="12" t="n">
        <f aca="false">IF(H13="L",E13,IF(H13="H",G13,F13))</f>
        <v>0.3</v>
      </c>
      <c r="J13" s="22" t="s">
        <v>81</v>
      </c>
      <c r="K13" s="9" t="s">
        <v>68</v>
      </c>
      <c r="L13" s="14" t="s">
        <v>115</v>
      </c>
      <c r="M13" s="18"/>
      <c r="N13" s="9" t="s">
        <v>116</v>
      </c>
      <c r="O13" s="15" t="s">
        <v>117</v>
      </c>
      <c r="P13" s="14" t="s">
        <v>118</v>
      </c>
      <c r="Q13" s="19"/>
      <c r="R13" s="19"/>
      <c r="S13" s="19"/>
      <c r="T13" s="19"/>
      <c r="U13" s="19"/>
      <c r="V13" s="19"/>
    </row>
    <row r="14" customFormat="false" ht="51.75" hidden="false" customHeight="true" outlineLevel="0" collapsed="false">
      <c r="A14" s="8" t="s">
        <v>119</v>
      </c>
      <c r="B14" s="9" t="s">
        <v>48</v>
      </c>
      <c r="C14" s="9" t="s">
        <v>120</v>
      </c>
      <c r="D14" s="9" t="s">
        <v>121</v>
      </c>
      <c r="E14" s="24" t="n">
        <v>0</v>
      </c>
      <c r="F14" s="24" t="n">
        <v>0.3</v>
      </c>
      <c r="G14" s="24" t="n">
        <v>0.8</v>
      </c>
      <c r="H14" s="11" t="s">
        <v>51</v>
      </c>
      <c r="I14" s="25" t="n">
        <f aca="false">IF(H14="L",E14,IF(H14="H",G14,F14))</f>
        <v>0.3</v>
      </c>
      <c r="J14" s="23" t="s">
        <v>108</v>
      </c>
      <c r="K14" s="9" t="s">
        <v>53</v>
      </c>
      <c r="L14" s="14" t="s">
        <v>122</v>
      </c>
      <c r="M14" s="14" t="s">
        <v>123</v>
      </c>
      <c r="N14" s="9" t="s">
        <v>124</v>
      </c>
      <c r="O14" s="15" t="s">
        <v>125</v>
      </c>
      <c r="P14" s="14" t="s">
        <v>126</v>
      </c>
      <c r="Q14" s="9" t="s">
        <v>127</v>
      </c>
      <c r="R14" s="15" t="s">
        <v>128</v>
      </c>
      <c r="S14" s="14" t="s">
        <v>129</v>
      </c>
      <c r="T14" s="19"/>
      <c r="U14" s="19"/>
      <c r="V14" s="19"/>
    </row>
    <row r="15" customFormat="false" ht="39" hidden="false" customHeight="true" outlineLevel="0" collapsed="false">
      <c r="A15" s="8" t="s">
        <v>130</v>
      </c>
      <c r="B15" s="9" t="s">
        <v>131</v>
      </c>
      <c r="C15" s="9" t="s">
        <v>132</v>
      </c>
      <c r="D15" s="9" t="s">
        <v>133</v>
      </c>
      <c r="E15" s="16" t="n">
        <v>100</v>
      </c>
      <c r="F15" s="16" t="n">
        <v>200</v>
      </c>
      <c r="G15" s="16" t="n">
        <v>500</v>
      </c>
      <c r="H15" s="11" t="s">
        <v>51</v>
      </c>
      <c r="I15" s="17" t="n">
        <f aca="false">IF(H15="L",E15,IF(H15="H",G15,F15))</f>
        <v>200</v>
      </c>
      <c r="J15" s="23" t="s">
        <v>108</v>
      </c>
      <c r="K15" s="9" t="s">
        <v>109</v>
      </c>
      <c r="L15" s="14" t="s">
        <v>134</v>
      </c>
      <c r="M15" s="18"/>
      <c r="N15" s="9" t="s">
        <v>135</v>
      </c>
      <c r="O15" s="15" t="s">
        <v>136</v>
      </c>
      <c r="P15" s="14" t="s">
        <v>137</v>
      </c>
      <c r="Q15" s="9" t="s">
        <v>138</v>
      </c>
      <c r="R15" s="15" t="s">
        <v>139</v>
      </c>
      <c r="S15" s="14" t="s">
        <v>140</v>
      </c>
      <c r="T15" s="9" t="s">
        <v>141</v>
      </c>
      <c r="U15" s="15" t="s">
        <v>142</v>
      </c>
      <c r="V15" s="14" t="s">
        <v>143</v>
      </c>
    </row>
    <row r="16" customFormat="false" ht="39" hidden="false" customHeight="true" outlineLevel="0" collapsed="false">
      <c r="A16" s="8" t="s">
        <v>144</v>
      </c>
      <c r="B16" s="9" t="s">
        <v>131</v>
      </c>
      <c r="C16" s="9" t="s">
        <v>145</v>
      </c>
      <c r="D16" s="9" t="s">
        <v>146</v>
      </c>
      <c r="E16" s="26" t="n">
        <v>2</v>
      </c>
      <c r="F16" s="26" t="n">
        <v>2.8</v>
      </c>
      <c r="G16" s="26" t="n">
        <v>4.7</v>
      </c>
      <c r="H16" s="11" t="s">
        <v>51</v>
      </c>
      <c r="I16" s="27" t="n">
        <f aca="false">IF(H16="L",E16,IF(H16="H",G16,F16))</f>
        <v>2.8</v>
      </c>
      <c r="J16" s="22" t="s">
        <v>81</v>
      </c>
      <c r="K16" s="9" t="s">
        <v>109</v>
      </c>
      <c r="L16" s="14" t="s">
        <v>147</v>
      </c>
      <c r="M16" s="14" t="s">
        <v>148</v>
      </c>
      <c r="N16" s="9" t="s">
        <v>149</v>
      </c>
      <c r="O16" s="15" t="s">
        <v>150</v>
      </c>
      <c r="P16" s="14" t="s">
        <v>151</v>
      </c>
      <c r="Q16" s="9" t="s">
        <v>138</v>
      </c>
      <c r="R16" s="15" t="s">
        <v>139</v>
      </c>
      <c r="S16" s="14" t="s">
        <v>152</v>
      </c>
      <c r="T16" s="9" t="s">
        <v>153</v>
      </c>
      <c r="U16" s="15" t="s">
        <v>154</v>
      </c>
      <c r="V16" s="14" t="s">
        <v>155</v>
      </c>
    </row>
    <row r="17" customFormat="false" ht="39" hidden="false" customHeight="true" outlineLevel="0" collapsed="false">
      <c r="A17" s="8" t="s">
        <v>156</v>
      </c>
      <c r="B17" s="9" t="s">
        <v>131</v>
      </c>
      <c r="C17" s="9" t="s">
        <v>157</v>
      </c>
      <c r="D17" s="9" t="s">
        <v>158</v>
      </c>
      <c r="E17" s="28" t="n">
        <v>800</v>
      </c>
      <c r="F17" s="28" t="n">
        <v>1500</v>
      </c>
      <c r="G17" s="28" t="n">
        <v>3000</v>
      </c>
      <c r="H17" s="11" t="s">
        <v>51</v>
      </c>
      <c r="I17" s="29" t="n">
        <f aca="false">IF(H17="L",E17,IF(H17="H",G17,F17))</f>
        <v>1500</v>
      </c>
      <c r="J17" s="13" t="s">
        <v>52</v>
      </c>
      <c r="K17" s="9" t="s">
        <v>109</v>
      </c>
      <c r="L17" s="14" t="s">
        <v>159</v>
      </c>
      <c r="M17" s="18"/>
      <c r="N17" s="9" t="s">
        <v>160</v>
      </c>
      <c r="O17" s="15" t="s">
        <v>161</v>
      </c>
      <c r="P17" s="14" t="s">
        <v>162</v>
      </c>
      <c r="Q17" s="9" t="s">
        <v>163</v>
      </c>
      <c r="R17" s="15" t="s">
        <v>154</v>
      </c>
      <c r="S17" s="14" t="s">
        <v>164</v>
      </c>
      <c r="T17" s="19"/>
      <c r="U17" s="19"/>
      <c r="V17" s="19"/>
    </row>
    <row r="18" customFormat="false" ht="26.25" hidden="false" customHeight="true" outlineLevel="0" collapsed="false">
      <c r="A18" s="8" t="s">
        <v>165</v>
      </c>
      <c r="B18" s="9" t="s">
        <v>131</v>
      </c>
      <c r="C18" s="9" t="s">
        <v>166</v>
      </c>
      <c r="D18" s="9" t="s">
        <v>167</v>
      </c>
      <c r="E18" s="28" t="n">
        <v>400</v>
      </c>
      <c r="F18" s="28" t="n">
        <v>675</v>
      </c>
      <c r="G18" s="28" t="n">
        <v>1100</v>
      </c>
      <c r="H18" s="11" t="s">
        <v>51</v>
      </c>
      <c r="I18" s="29" t="n">
        <f aca="false">IF(H18="L",E18,IF(H18="H",G18,F18))</f>
        <v>675</v>
      </c>
      <c r="J18" s="13" t="s">
        <v>52</v>
      </c>
      <c r="K18" s="9" t="s">
        <v>168</v>
      </c>
      <c r="L18" s="14" t="s">
        <v>169</v>
      </c>
      <c r="M18" s="18"/>
      <c r="N18" s="9" t="s">
        <v>170</v>
      </c>
      <c r="O18" s="15" t="s">
        <v>171</v>
      </c>
      <c r="P18" s="14" t="s">
        <v>172</v>
      </c>
      <c r="Q18" s="9" t="s">
        <v>173</v>
      </c>
      <c r="R18" s="15" t="s">
        <v>174</v>
      </c>
      <c r="S18" s="14" t="s">
        <v>175</v>
      </c>
      <c r="T18" s="19"/>
      <c r="U18" s="19"/>
      <c r="V18" s="19"/>
    </row>
    <row r="19" customFormat="false" ht="26.25" hidden="false" customHeight="true" outlineLevel="0" collapsed="false">
      <c r="A19" s="8" t="s">
        <v>176</v>
      </c>
      <c r="B19" s="9" t="s">
        <v>131</v>
      </c>
      <c r="C19" s="9" t="s">
        <v>177</v>
      </c>
      <c r="D19" s="9" t="s">
        <v>50</v>
      </c>
      <c r="E19" s="10" t="n">
        <v>0.15</v>
      </c>
      <c r="F19" s="10" t="n">
        <v>0.3</v>
      </c>
      <c r="G19" s="10" t="n">
        <v>0.6</v>
      </c>
      <c r="H19" s="11" t="s">
        <v>51</v>
      </c>
      <c r="I19" s="12" t="n">
        <f aca="false">IF(H19="L",E19,IF(H19="H",G19,F19))</f>
        <v>0.3</v>
      </c>
      <c r="J19" s="23" t="s">
        <v>108</v>
      </c>
      <c r="K19" s="9" t="s">
        <v>178</v>
      </c>
      <c r="L19" s="14" t="s">
        <v>179</v>
      </c>
      <c r="M19" s="18"/>
      <c r="N19" s="9" t="s">
        <v>170</v>
      </c>
      <c r="O19" s="15" t="s">
        <v>171</v>
      </c>
      <c r="P19" s="14" t="s">
        <v>180</v>
      </c>
      <c r="Q19" s="19"/>
      <c r="R19" s="19"/>
      <c r="S19" s="19"/>
      <c r="T19" s="19"/>
      <c r="U19" s="19"/>
      <c r="V19" s="19"/>
    </row>
    <row r="20" customFormat="false" ht="26.25" hidden="false" customHeight="true" outlineLevel="0" collapsed="false">
      <c r="A20" s="8" t="s">
        <v>181</v>
      </c>
      <c r="B20" s="9" t="s">
        <v>131</v>
      </c>
      <c r="C20" s="9" t="s">
        <v>182</v>
      </c>
      <c r="D20" s="9" t="s">
        <v>183</v>
      </c>
      <c r="E20" s="20" t="n">
        <v>1</v>
      </c>
      <c r="F20" s="20" t="n">
        <v>1.25</v>
      </c>
      <c r="G20" s="20" t="n">
        <v>2</v>
      </c>
      <c r="H20" s="11" t="s">
        <v>51</v>
      </c>
      <c r="I20" s="21" t="n">
        <f aca="false">IF(H20="L",E20,IF(H20="H",G20,F20))</f>
        <v>1.25</v>
      </c>
      <c r="J20" s="23" t="s">
        <v>108</v>
      </c>
      <c r="K20" s="9" t="s">
        <v>53</v>
      </c>
      <c r="L20" s="14" t="s">
        <v>184</v>
      </c>
      <c r="M20" s="18"/>
      <c r="N20" s="9" t="s">
        <v>185</v>
      </c>
      <c r="O20" s="15" t="s">
        <v>186</v>
      </c>
      <c r="P20" s="14" t="s">
        <v>187</v>
      </c>
      <c r="Q20" s="19"/>
      <c r="R20" s="19"/>
      <c r="S20" s="19"/>
      <c r="T20" s="19"/>
      <c r="U20" s="19"/>
      <c r="V20" s="19"/>
    </row>
    <row r="21" customFormat="false" ht="26.25" hidden="false" customHeight="true" outlineLevel="0" collapsed="false">
      <c r="A21" s="8" t="s">
        <v>188</v>
      </c>
      <c r="B21" s="9" t="s">
        <v>131</v>
      </c>
      <c r="C21" s="9" t="s">
        <v>189</v>
      </c>
      <c r="D21" s="9" t="s">
        <v>190</v>
      </c>
      <c r="E21" s="28" t="n">
        <v>1000000</v>
      </c>
      <c r="F21" s="28" t="n">
        <v>1800000</v>
      </c>
      <c r="G21" s="28" t="n">
        <v>3000000</v>
      </c>
      <c r="H21" s="11" t="s">
        <v>51</v>
      </c>
      <c r="I21" s="29" t="n">
        <f aca="false">IF(H21="L",E21,IF(H21="H",G21,F21))</f>
        <v>1800000</v>
      </c>
      <c r="J21" s="23" t="s">
        <v>108</v>
      </c>
      <c r="K21" s="9" t="s">
        <v>68</v>
      </c>
      <c r="L21" s="14" t="s">
        <v>191</v>
      </c>
      <c r="M21" s="18"/>
      <c r="N21" s="9" t="s">
        <v>192</v>
      </c>
      <c r="O21" s="15" t="s">
        <v>193</v>
      </c>
      <c r="P21" s="14" t="s">
        <v>194</v>
      </c>
      <c r="Q21" s="9" t="s">
        <v>195</v>
      </c>
      <c r="R21" s="15" t="s">
        <v>196</v>
      </c>
      <c r="S21" s="14" t="s">
        <v>197</v>
      </c>
      <c r="T21" s="9" t="s">
        <v>198</v>
      </c>
      <c r="U21" s="15" t="s">
        <v>199</v>
      </c>
      <c r="V21" s="14" t="s">
        <v>200</v>
      </c>
    </row>
    <row r="22" customFormat="false" ht="26.25" hidden="false" customHeight="true" outlineLevel="0" collapsed="false">
      <c r="A22" s="8" t="s">
        <v>201</v>
      </c>
      <c r="B22" s="9" t="s">
        <v>131</v>
      </c>
      <c r="C22" s="9" t="s">
        <v>202</v>
      </c>
      <c r="D22" s="9" t="s">
        <v>203</v>
      </c>
      <c r="E22" s="16" t="n">
        <v>75</v>
      </c>
      <c r="F22" s="16" t="n">
        <v>250</v>
      </c>
      <c r="G22" s="16" t="n">
        <v>600</v>
      </c>
      <c r="H22" s="11" t="s">
        <v>51</v>
      </c>
      <c r="I22" s="17" t="n">
        <f aca="false">IF(H22="L",E22,IF(H22="H",G22,F22))</f>
        <v>250</v>
      </c>
      <c r="J22" s="13" t="s">
        <v>52</v>
      </c>
      <c r="K22" s="9" t="s">
        <v>53</v>
      </c>
      <c r="L22" s="14" t="s">
        <v>204</v>
      </c>
      <c r="M22" s="14" t="s">
        <v>205</v>
      </c>
      <c r="N22" s="9" t="s">
        <v>206</v>
      </c>
      <c r="O22" s="15" t="s">
        <v>207</v>
      </c>
      <c r="P22" s="14" t="s">
        <v>208</v>
      </c>
      <c r="Q22" s="9" t="s">
        <v>209</v>
      </c>
      <c r="R22" s="15" t="s">
        <v>210</v>
      </c>
      <c r="S22" s="14" t="s">
        <v>211</v>
      </c>
      <c r="T22" s="19"/>
      <c r="U22" s="19"/>
      <c r="V22" s="19"/>
    </row>
    <row r="23" customFormat="false" ht="26.25" hidden="false" customHeight="true" outlineLevel="0" collapsed="false">
      <c r="A23" s="8" t="s">
        <v>212</v>
      </c>
      <c r="B23" s="9" t="s">
        <v>131</v>
      </c>
      <c r="C23" s="9" t="s">
        <v>213</v>
      </c>
      <c r="D23" s="9" t="s">
        <v>214</v>
      </c>
      <c r="E23" s="16" t="n">
        <v>8</v>
      </c>
      <c r="F23" s="16" t="n">
        <v>16</v>
      </c>
      <c r="G23" s="16" t="n">
        <v>24</v>
      </c>
      <c r="H23" s="11" t="s">
        <v>51</v>
      </c>
      <c r="I23" s="17" t="n">
        <f aca="false">IF(H23="L",E23,IF(H23="H",G23,F23))</f>
        <v>16</v>
      </c>
      <c r="J23" s="23" t="s">
        <v>108</v>
      </c>
      <c r="K23" s="9" t="s">
        <v>109</v>
      </c>
      <c r="L23" s="14" t="s">
        <v>215</v>
      </c>
      <c r="M23" s="18"/>
      <c r="N23" s="19"/>
      <c r="O23" s="19"/>
      <c r="P23" s="19"/>
      <c r="Q23" s="19"/>
      <c r="R23" s="19"/>
      <c r="S23" s="19"/>
      <c r="T23" s="19"/>
      <c r="U23" s="19"/>
      <c r="V23" s="19"/>
    </row>
    <row r="24" customFormat="false" ht="39" hidden="false" customHeight="true" outlineLevel="0" collapsed="false">
      <c r="A24" s="8" t="s">
        <v>216</v>
      </c>
      <c r="B24" s="9" t="s">
        <v>131</v>
      </c>
      <c r="C24" s="9" t="s">
        <v>217</v>
      </c>
      <c r="D24" s="9" t="s">
        <v>50</v>
      </c>
      <c r="E24" s="10" t="n">
        <v>0.3</v>
      </c>
      <c r="F24" s="10" t="n">
        <v>0.5</v>
      </c>
      <c r="G24" s="10" t="n">
        <v>0.8</v>
      </c>
      <c r="H24" s="11" t="s">
        <v>51</v>
      </c>
      <c r="I24" s="12" t="n">
        <f aca="false">IF(H24="L",E24,IF(H24="H",G24,F24))</f>
        <v>0.5</v>
      </c>
      <c r="J24" s="13" t="s">
        <v>52</v>
      </c>
      <c r="K24" s="9" t="s">
        <v>109</v>
      </c>
      <c r="L24" s="14" t="s">
        <v>218</v>
      </c>
      <c r="M24" s="18"/>
      <c r="N24" s="9" t="s">
        <v>219</v>
      </c>
      <c r="O24" s="15" t="s">
        <v>220</v>
      </c>
      <c r="P24" s="14" t="s">
        <v>221</v>
      </c>
      <c r="Q24" s="19"/>
      <c r="R24" s="19"/>
      <c r="S24" s="19"/>
      <c r="T24" s="19"/>
      <c r="U24" s="19"/>
      <c r="V24" s="19"/>
    </row>
    <row r="25" customFormat="false" ht="39" hidden="false" customHeight="true" outlineLevel="0" collapsed="false">
      <c r="A25" s="8" t="s">
        <v>222</v>
      </c>
      <c r="B25" s="9" t="s">
        <v>223</v>
      </c>
      <c r="C25" s="9" t="s">
        <v>224</v>
      </c>
      <c r="D25" s="9" t="s">
        <v>225</v>
      </c>
      <c r="E25" s="24" t="n">
        <v>0.15</v>
      </c>
      <c r="F25" s="24" t="n">
        <v>0.3</v>
      </c>
      <c r="G25" s="24" t="n">
        <v>0.5</v>
      </c>
      <c r="H25" s="30" t="str">
        <f aca="false">CHOOSE(in_G09,"L","B","H")</f>
        <v>B</v>
      </c>
      <c r="I25" s="25" t="n">
        <f aca="false">IF(H25="L",E25,IF(H25="H",G25,F25))</f>
        <v>0.3</v>
      </c>
      <c r="J25" s="13" t="s">
        <v>52</v>
      </c>
      <c r="K25" s="9" t="s">
        <v>53</v>
      </c>
      <c r="L25" s="14" t="s">
        <v>226</v>
      </c>
      <c r="M25" s="18"/>
      <c r="N25" s="9" t="s">
        <v>227</v>
      </c>
      <c r="O25" s="15" t="s">
        <v>228</v>
      </c>
      <c r="P25" s="14" t="s">
        <v>229</v>
      </c>
      <c r="Q25" s="9" t="s">
        <v>230</v>
      </c>
      <c r="R25" s="15" t="s">
        <v>231</v>
      </c>
      <c r="S25" s="14" t="s">
        <v>232</v>
      </c>
      <c r="T25" s="9" t="s">
        <v>233</v>
      </c>
      <c r="U25" s="15" t="s">
        <v>234</v>
      </c>
      <c r="V25" s="14" t="s">
        <v>235</v>
      </c>
    </row>
    <row r="26" customFormat="false" ht="26.25" hidden="false" customHeight="true" outlineLevel="0" collapsed="false">
      <c r="A26" s="8" t="s">
        <v>236</v>
      </c>
      <c r="B26" s="9" t="s">
        <v>223</v>
      </c>
      <c r="C26" s="9" t="s">
        <v>237</v>
      </c>
      <c r="D26" s="9" t="s">
        <v>50</v>
      </c>
      <c r="E26" s="10" t="n">
        <v>0.2</v>
      </c>
      <c r="F26" s="10" t="n">
        <v>0.3</v>
      </c>
      <c r="G26" s="10" t="n">
        <v>0.5</v>
      </c>
      <c r="H26" s="30" t="str">
        <f aca="false">CHOOSE(in_G09,"L","B","H")</f>
        <v>B</v>
      </c>
      <c r="I26" s="12" t="n">
        <f aca="false">IF(H26="L",E26,IF(H26="H",G26,F26))</f>
        <v>0.3</v>
      </c>
      <c r="J26" s="23" t="s">
        <v>108</v>
      </c>
      <c r="K26" s="9" t="s">
        <v>68</v>
      </c>
      <c r="L26" s="14" t="s">
        <v>238</v>
      </c>
      <c r="M26" s="18"/>
      <c r="N26" s="9" t="s">
        <v>227</v>
      </c>
      <c r="O26" s="15" t="s">
        <v>228</v>
      </c>
      <c r="P26" s="14" t="s">
        <v>239</v>
      </c>
      <c r="Q26" s="9" t="s">
        <v>195</v>
      </c>
      <c r="R26" s="15" t="s">
        <v>240</v>
      </c>
      <c r="S26" s="14" t="s">
        <v>241</v>
      </c>
      <c r="T26" s="19"/>
      <c r="U26" s="19"/>
      <c r="V26" s="19"/>
    </row>
    <row r="27" customFormat="false" ht="39" hidden="false" customHeight="true" outlineLevel="0" collapsed="false">
      <c r="A27" s="8" t="s">
        <v>242</v>
      </c>
      <c r="B27" s="9" t="s">
        <v>223</v>
      </c>
      <c r="C27" s="9" t="s">
        <v>243</v>
      </c>
      <c r="D27" s="9" t="s">
        <v>50</v>
      </c>
      <c r="E27" s="10" t="n">
        <v>0.1</v>
      </c>
      <c r="F27" s="10" t="n">
        <v>0.3</v>
      </c>
      <c r="G27" s="10" t="n">
        <v>0.5</v>
      </c>
      <c r="H27" s="11" t="s">
        <v>51</v>
      </c>
      <c r="I27" s="12" t="n">
        <f aca="false">IF(H27="L",E27,IF(H27="H",G27,F27))</f>
        <v>0.3</v>
      </c>
      <c r="J27" s="23" t="s">
        <v>108</v>
      </c>
      <c r="K27" s="9" t="s">
        <v>53</v>
      </c>
      <c r="L27" s="14" t="s">
        <v>244</v>
      </c>
      <c r="M27" s="14" t="s">
        <v>245</v>
      </c>
      <c r="N27" s="9" t="s">
        <v>246</v>
      </c>
      <c r="O27" s="15" t="s">
        <v>247</v>
      </c>
      <c r="P27" s="14" t="s">
        <v>248</v>
      </c>
      <c r="Q27" s="9" t="s">
        <v>227</v>
      </c>
      <c r="R27" s="15" t="s">
        <v>228</v>
      </c>
      <c r="S27" s="14" t="s">
        <v>249</v>
      </c>
      <c r="T27" s="9" t="s">
        <v>250</v>
      </c>
      <c r="U27" s="15" t="s">
        <v>251</v>
      </c>
      <c r="V27" s="14" t="s">
        <v>252</v>
      </c>
    </row>
    <row r="28" customFormat="false" ht="39" hidden="false" customHeight="true" outlineLevel="0" collapsed="false">
      <c r="A28" s="8" t="s">
        <v>253</v>
      </c>
      <c r="B28" s="9" t="s">
        <v>223</v>
      </c>
      <c r="C28" s="9" t="s">
        <v>254</v>
      </c>
      <c r="D28" s="9" t="s">
        <v>255</v>
      </c>
      <c r="E28" s="10" t="n">
        <v>0.005</v>
      </c>
      <c r="F28" s="10" t="n">
        <v>0.015</v>
      </c>
      <c r="G28" s="10" t="n">
        <v>0.025</v>
      </c>
      <c r="H28" s="30" t="str">
        <f aca="false">CHOOSE(in_G09,"L","B","H")</f>
        <v>B</v>
      </c>
      <c r="I28" s="12" t="n">
        <f aca="false">IF(H28="L",E28,IF(H28="H",G28,F28))</f>
        <v>0.015</v>
      </c>
      <c r="J28" s="13" t="s">
        <v>52</v>
      </c>
      <c r="K28" s="9" t="s">
        <v>53</v>
      </c>
      <c r="L28" s="14" t="s">
        <v>256</v>
      </c>
      <c r="M28" s="14" t="s">
        <v>257</v>
      </c>
      <c r="N28" s="9" t="s">
        <v>258</v>
      </c>
      <c r="O28" s="15" t="s">
        <v>259</v>
      </c>
      <c r="P28" s="14" t="s">
        <v>260</v>
      </c>
      <c r="Q28" s="9" t="s">
        <v>261</v>
      </c>
      <c r="R28" s="15" t="s">
        <v>262</v>
      </c>
      <c r="S28" s="14" t="s">
        <v>263</v>
      </c>
      <c r="T28" s="9" t="s">
        <v>264</v>
      </c>
      <c r="U28" s="15" t="s">
        <v>265</v>
      </c>
      <c r="V28" s="14" t="s">
        <v>266</v>
      </c>
    </row>
    <row r="29" customFormat="false" ht="39" hidden="false" customHeight="true" outlineLevel="0" collapsed="false">
      <c r="A29" s="8" t="s">
        <v>267</v>
      </c>
      <c r="B29" s="9" t="s">
        <v>223</v>
      </c>
      <c r="C29" s="9" t="s">
        <v>268</v>
      </c>
      <c r="D29" s="9" t="s">
        <v>225</v>
      </c>
      <c r="E29" s="24" t="n">
        <v>0.05</v>
      </c>
      <c r="F29" s="24" t="n">
        <v>0.1</v>
      </c>
      <c r="G29" s="24" t="n">
        <v>0.25</v>
      </c>
      <c r="H29" s="30" t="str">
        <f aca="false">CHOOSE(in_G09,"L","B","H")</f>
        <v>B</v>
      </c>
      <c r="I29" s="25" t="n">
        <f aca="false">IF(H29="L",E29,IF(H29="H",G29,F29))</f>
        <v>0.1</v>
      </c>
      <c r="J29" s="22" t="s">
        <v>81</v>
      </c>
      <c r="K29" s="9" t="s">
        <v>53</v>
      </c>
      <c r="L29" s="14" t="s">
        <v>269</v>
      </c>
      <c r="M29" s="18"/>
      <c r="N29" s="9" t="s">
        <v>270</v>
      </c>
      <c r="O29" s="15" t="s">
        <v>271</v>
      </c>
      <c r="P29" s="14" t="s">
        <v>272</v>
      </c>
      <c r="Q29" s="9" t="s">
        <v>273</v>
      </c>
      <c r="R29" s="15" t="s">
        <v>274</v>
      </c>
      <c r="S29" s="14" t="s">
        <v>275</v>
      </c>
      <c r="T29" s="9" t="s">
        <v>276</v>
      </c>
      <c r="U29" s="15" t="s">
        <v>277</v>
      </c>
      <c r="V29" s="14" t="s">
        <v>278</v>
      </c>
    </row>
    <row r="30" customFormat="false" ht="51.75" hidden="false" customHeight="true" outlineLevel="0" collapsed="false">
      <c r="A30" s="8" t="s">
        <v>279</v>
      </c>
      <c r="B30" s="9" t="s">
        <v>223</v>
      </c>
      <c r="C30" s="9" t="s">
        <v>280</v>
      </c>
      <c r="D30" s="9" t="s">
        <v>281</v>
      </c>
      <c r="E30" s="24" t="n">
        <v>0.3</v>
      </c>
      <c r="F30" s="24" t="n">
        <v>0.5</v>
      </c>
      <c r="G30" s="24" t="n">
        <v>1</v>
      </c>
      <c r="H30" s="30" t="str">
        <f aca="false">CHOOSE(in_G09,"L","B","H")</f>
        <v>B</v>
      </c>
      <c r="I30" s="25" t="n">
        <f aca="false">IF(H30="L",E30,IF(H30="H",G30,F30))</f>
        <v>0.5</v>
      </c>
      <c r="J30" s="23" t="s">
        <v>108</v>
      </c>
      <c r="K30" s="9" t="s">
        <v>53</v>
      </c>
      <c r="L30" s="14" t="s">
        <v>282</v>
      </c>
      <c r="M30" s="18"/>
      <c r="N30" s="9" t="s">
        <v>283</v>
      </c>
      <c r="O30" s="15" t="s">
        <v>284</v>
      </c>
      <c r="P30" s="14" t="s">
        <v>285</v>
      </c>
      <c r="Q30" s="19"/>
      <c r="R30" s="19"/>
      <c r="S30" s="19"/>
      <c r="T30" s="19"/>
      <c r="U30" s="19"/>
      <c r="V30" s="19"/>
    </row>
    <row r="31" customFormat="false" ht="26.25" hidden="false" customHeight="true" outlineLevel="0" collapsed="false">
      <c r="A31" s="8" t="s">
        <v>286</v>
      </c>
      <c r="B31" s="9" t="s">
        <v>223</v>
      </c>
      <c r="C31" s="9" t="s">
        <v>287</v>
      </c>
      <c r="D31" s="9" t="s">
        <v>288</v>
      </c>
      <c r="E31" s="16" t="n">
        <v>2</v>
      </c>
      <c r="F31" s="16" t="n">
        <v>5</v>
      </c>
      <c r="G31" s="16" t="n">
        <v>10</v>
      </c>
      <c r="H31" s="11" t="s">
        <v>51</v>
      </c>
      <c r="I31" s="17" t="n">
        <f aca="false">IF(H31="L",E31,IF(H31="H",G31,F31))</f>
        <v>5</v>
      </c>
      <c r="J31" s="22" t="s">
        <v>81</v>
      </c>
      <c r="K31" s="9" t="s">
        <v>68</v>
      </c>
      <c r="L31" s="14" t="s">
        <v>289</v>
      </c>
      <c r="M31" s="18"/>
      <c r="N31" s="9" t="s">
        <v>290</v>
      </c>
      <c r="O31" s="15" t="s">
        <v>291</v>
      </c>
      <c r="P31" s="14" t="s">
        <v>292</v>
      </c>
      <c r="Q31" s="9" t="s">
        <v>293</v>
      </c>
      <c r="R31" s="15" t="s">
        <v>294</v>
      </c>
      <c r="S31" s="14" t="s">
        <v>295</v>
      </c>
      <c r="T31" s="19"/>
      <c r="U31" s="19"/>
      <c r="V31" s="19"/>
    </row>
    <row r="32" customFormat="false" ht="39" hidden="false" customHeight="true" outlineLevel="0" collapsed="false">
      <c r="A32" s="8" t="s">
        <v>296</v>
      </c>
      <c r="B32" s="9" t="s">
        <v>223</v>
      </c>
      <c r="C32" s="9" t="s">
        <v>297</v>
      </c>
      <c r="D32" s="9" t="s">
        <v>298</v>
      </c>
      <c r="E32" s="16" t="n">
        <v>50</v>
      </c>
      <c r="F32" s="16" t="n">
        <v>250</v>
      </c>
      <c r="G32" s="16" t="n">
        <v>1100</v>
      </c>
      <c r="H32" s="30" t="str">
        <f aca="false">CHOOSE(in_G09,"L","B","H")</f>
        <v>B</v>
      </c>
      <c r="I32" s="17" t="n">
        <f aca="false">IF(H32="L",E32,IF(H32="H",G32,F32))</f>
        <v>250</v>
      </c>
      <c r="J32" s="22" t="s">
        <v>81</v>
      </c>
      <c r="K32" s="9" t="s">
        <v>53</v>
      </c>
      <c r="L32" s="14" t="s">
        <v>299</v>
      </c>
      <c r="M32" s="14" t="s">
        <v>300</v>
      </c>
      <c r="N32" s="9" t="s">
        <v>301</v>
      </c>
      <c r="O32" s="15" t="s">
        <v>220</v>
      </c>
      <c r="P32" s="14" t="s">
        <v>302</v>
      </c>
      <c r="Q32" s="9" t="s">
        <v>303</v>
      </c>
      <c r="R32" s="15" t="s">
        <v>304</v>
      </c>
      <c r="S32" s="14" t="s">
        <v>305</v>
      </c>
      <c r="T32" s="9" t="s">
        <v>306</v>
      </c>
      <c r="U32" s="15" t="s">
        <v>307</v>
      </c>
      <c r="V32" s="14" t="s">
        <v>308</v>
      </c>
    </row>
    <row r="33" customFormat="false" ht="26.25" hidden="false" customHeight="true" outlineLevel="0" collapsed="false">
      <c r="A33" s="8" t="s">
        <v>309</v>
      </c>
      <c r="B33" s="9" t="s">
        <v>223</v>
      </c>
      <c r="C33" s="9" t="s">
        <v>310</v>
      </c>
      <c r="D33" s="9" t="s">
        <v>311</v>
      </c>
      <c r="E33" s="16" t="n">
        <v>1</v>
      </c>
      <c r="F33" s="16" t="n">
        <v>1</v>
      </c>
      <c r="G33" s="16" t="n">
        <v>2</v>
      </c>
      <c r="H33" s="11" t="s">
        <v>51</v>
      </c>
      <c r="I33" s="17" t="n">
        <f aca="false">IF(H33="L",E33,IF(H33="H",G33,F33))</f>
        <v>1</v>
      </c>
      <c r="J33" s="13" t="s">
        <v>52</v>
      </c>
      <c r="K33" s="9" t="s">
        <v>68</v>
      </c>
      <c r="L33" s="14" t="s">
        <v>312</v>
      </c>
      <c r="M33" s="18"/>
      <c r="N33" s="9" t="s">
        <v>313</v>
      </c>
      <c r="O33" s="15" t="s">
        <v>314</v>
      </c>
      <c r="P33" s="14" t="s">
        <v>315</v>
      </c>
      <c r="Q33" s="9" t="s">
        <v>316</v>
      </c>
      <c r="R33" s="15" t="s">
        <v>284</v>
      </c>
      <c r="S33" s="14" t="s">
        <v>317</v>
      </c>
      <c r="T33" s="19"/>
      <c r="U33" s="19"/>
      <c r="V33" s="19"/>
    </row>
    <row r="34" customFormat="false" ht="39" hidden="false" customHeight="true" outlineLevel="0" collapsed="false">
      <c r="A34" s="8" t="s">
        <v>318</v>
      </c>
      <c r="B34" s="9" t="s">
        <v>319</v>
      </c>
      <c r="C34" s="9" t="s">
        <v>320</v>
      </c>
      <c r="D34" s="9" t="s">
        <v>190</v>
      </c>
      <c r="E34" s="28" t="n">
        <v>10000</v>
      </c>
      <c r="F34" s="28" t="n">
        <v>27700</v>
      </c>
      <c r="G34" s="28" t="n">
        <v>35000</v>
      </c>
      <c r="H34" s="11" t="s">
        <v>51</v>
      </c>
      <c r="I34" s="29" t="n">
        <f aca="false">IF(H34="L",E34,IF(H34="H",G34,F34))</f>
        <v>27700</v>
      </c>
      <c r="J34" s="22" t="s">
        <v>81</v>
      </c>
      <c r="K34" s="9" t="s">
        <v>53</v>
      </c>
      <c r="L34" s="14" t="s">
        <v>321</v>
      </c>
      <c r="M34" s="14" t="s">
        <v>322</v>
      </c>
      <c r="N34" s="9" t="s">
        <v>323</v>
      </c>
      <c r="O34" s="15" t="s">
        <v>324</v>
      </c>
      <c r="P34" s="14" t="s">
        <v>325</v>
      </c>
      <c r="Q34" s="9" t="s">
        <v>326</v>
      </c>
      <c r="R34" s="15" t="s">
        <v>327</v>
      </c>
      <c r="S34" s="14" t="s">
        <v>328</v>
      </c>
      <c r="T34" s="19"/>
      <c r="U34" s="19"/>
      <c r="V34" s="19"/>
    </row>
    <row r="35" customFormat="false" ht="26.25" hidden="false" customHeight="true" outlineLevel="0" collapsed="false">
      <c r="A35" s="8" t="s">
        <v>329</v>
      </c>
      <c r="B35" s="9" t="s">
        <v>319</v>
      </c>
      <c r="C35" s="9" t="s">
        <v>330</v>
      </c>
      <c r="D35" s="9" t="s">
        <v>50</v>
      </c>
      <c r="E35" s="10" t="n">
        <v>0.3</v>
      </c>
      <c r="F35" s="10" t="n">
        <v>0.45</v>
      </c>
      <c r="G35" s="10" t="n">
        <v>0.65</v>
      </c>
      <c r="H35" s="11" t="s">
        <v>51</v>
      </c>
      <c r="I35" s="12" t="n">
        <f aca="false">IF(H35="L",E35,IF(H35="H",G35,F35))</f>
        <v>0.45</v>
      </c>
      <c r="J35" s="22" t="s">
        <v>81</v>
      </c>
      <c r="K35" s="9" t="s">
        <v>53</v>
      </c>
      <c r="L35" s="14" t="s">
        <v>331</v>
      </c>
      <c r="M35" s="18"/>
      <c r="N35" s="9" t="s">
        <v>332</v>
      </c>
      <c r="O35" s="15" t="s">
        <v>333</v>
      </c>
      <c r="P35" s="14" t="s">
        <v>334</v>
      </c>
      <c r="Q35" s="19"/>
      <c r="R35" s="19"/>
      <c r="S35" s="19"/>
      <c r="T35" s="19"/>
      <c r="U35" s="19"/>
      <c r="V35" s="19"/>
    </row>
    <row r="36" customFormat="false" ht="26.25" hidden="false" customHeight="true" outlineLevel="0" collapsed="false">
      <c r="A36" s="8" t="s">
        <v>335</v>
      </c>
      <c r="B36" s="9" t="s">
        <v>319</v>
      </c>
      <c r="C36" s="9" t="s">
        <v>336</v>
      </c>
      <c r="D36" s="9" t="s">
        <v>337</v>
      </c>
      <c r="E36" s="16" t="n">
        <v>2</v>
      </c>
      <c r="F36" s="16" t="n">
        <v>4</v>
      </c>
      <c r="G36" s="16" t="n">
        <v>8</v>
      </c>
      <c r="H36" s="11" t="s">
        <v>51</v>
      </c>
      <c r="I36" s="17" t="n">
        <f aca="false">IF(H36="L",E36,IF(H36="H",G36,F36))</f>
        <v>4</v>
      </c>
      <c r="J36" s="23" t="s">
        <v>108</v>
      </c>
      <c r="K36" s="9" t="s">
        <v>68</v>
      </c>
      <c r="L36" s="14" t="s">
        <v>338</v>
      </c>
      <c r="M36" s="18"/>
      <c r="N36" s="19"/>
      <c r="O36" s="19"/>
      <c r="P36" s="19"/>
      <c r="Q36" s="19"/>
      <c r="R36" s="19"/>
      <c r="S36" s="19"/>
      <c r="T36" s="19"/>
      <c r="U36" s="19"/>
      <c r="V36" s="19"/>
    </row>
    <row r="37" customFormat="false" ht="26.25" hidden="false" customHeight="true" outlineLevel="0" collapsed="false">
      <c r="A37" s="8" t="s">
        <v>339</v>
      </c>
      <c r="B37" s="9" t="s">
        <v>319</v>
      </c>
      <c r="C37" s="9" t="s">
        <v>340</v>
      </c>
      <c r="D37" s="9" t="s">
        <v>341</v>
      </c>
      <c r="E37" s="28" t="n">
        <v>1000</v>
      </c>
      <c r="F37" s="28" t="n">
        <v>2500</v>
      </c>
      <c r="G37" s="28" t="n">
        <v>5000</v>
      </c>
      <c r="H37" s="11" t="s">
        <v>51</v>
      </c>
      <c r="I37" s="29" t="n">
        <f aca="false">IF(H37="L",E37,IF(H37="H",G37,F37))</f>
        <v>2500</v>
      </c>
      <c r="J37" s="22" t="s">
        <v>81</v>
      </c>
      <c r="K37" s="9" t="s">
        <v>53</v>
      </c>
      <c r="L37" s="14" t="s">
        <v>342</v>
      </c>
      <c r="M37" s="14" t="s">
        <v>343</v>
      </c>
      <c r="N37" s="9" t="s">
        <v>344</v>
      </c>
      <c r="O37" s="15" t="s">
        <v>345</v>
      </c>
      <c r="P37" s="14" t="s">
        <v>346</v>
      </c>
      <c r="Q37" s="9" t="s">
        <v>347</v>
      </c>
      <c r="R37" s="15" t="s">
        <v>348</v>
      </c>
      <c r="S37" s="14" t="s">
        <v>349</v>
      </c>
      <c r="T37" s="19"/>
      <c r="U37" s="19"/>
      <c r="V37" s="19"/>
    </row>
    <row r="38" customFormat="false" ht="26.25" hidden="false" customHeight="true" outlineLevel="0" collapsed="false">
      <c r="A38" s="8" t="s">
        <v>350</v>
      </c>
      <c r="B38" s="9" t="s">
        <v>319</v>
      </c>
      <c r="C38" s="9" t="s">
        <v>351</v>
      </c>
      <c r="D38" s="9" t="s">
        <v>352</v>
      </c>
      <c r="E38" s="10" t="n">
        <v>0</v>
      </c>
      <c r="F38" s="10" t="n">
        <v>0.05</v>
      </c>
      <c r="G38" s="10" t="n">
        <v>0.15</v>
      </c>
      <c r="H38" s="11" t="s">
        <v>51</v>
      </c>
      <c r="I38" s="12" t="n">
        <f aca="false">IF(H38="L",E38,IF(H38="H",G38,F38))</f>
        <v>0.05</v>
      </c>
      <c r="J38" s="23" t="s">
        <v>108</v>
      </c>
      <c r="K38" s="9" t="s">
        <v>178</v>
      </c>
      <c r="L38" s="14" t="s">
        <v>353</v>
      </c>
      <c r="M38" s="18"/>
      <c r="N38" s="9" t="s">
        <v>354</v>
      </c>
      <c r="O38" s="15" t="s">
        <v>355</v>
      </c>
      <c r="P38" s="14" t="s">
        <v>356</v>
      </c>
      <c r="Q38" s="9" t="s">
        <v>357</v>
      </c>
      <c r="R38" s="15" t="s">
        <v>358</v>
      </c>
      <c r="S38" s="14" t="s">
        <v>359</v>
      </c>
      <c r="T38" s="19"/>
      <c r="U38" s="19"/>
      <c r="V38" s="19"/>
    </row>
    <row r="39" customFormat="false" ht="26.25" hidden="false" customHeight="true" outlineLevel="0" collapsed="false">
      <c r="A39" s="8" t="s">
        <v>360</v>
      </c>
      <c r="B39" s="9" t="s">
        <v>319</v>
      </c>
      <c r="C39" s="9" t="s">
        <v>361</v>
      </c>
      <c r="D39" s="9" t="s">
        <v>352</v>
      </c>
      <c r="E39" s="10" t="n">
        <v>0.1</v>
      </c>
      <c r="F39" s="10" t="n">
        <v>0.2</v>
      </c>
      <c r="G39" s="10" t="n">
        <v>0.3</v>
      </c>
      <c r="H39" s="11" t="s">
        <v>51</v>
      </c>
      <c r="I39" s="12" t="n">
        <f aca="false">IF(H39="L",E39,IF(H39="H",G39,F39))</f>
        <v>0.2</v>
      </c>
      <c r="J39" s="13" t="s">
        <v>52</v>
      </c>
      <c r="K39" s="9" t="s">
        <v>68</v>
      </c>
      <c r="L39" s="14" t="s">
        <v>362</v>
      </c>
      <c r="M39" s="18"/>
      <c r="N39" s="9" t="s">
        <v>363</v>
      </c>
      <c r="O39" s="15" t="s">
        <v>364</v>
      </c>
      <c r="P39" s="14" t="s">
        <v>365</v>
      </c>
      <c r="Q39" s="19"/>
      <c r="R39" s="19"/>
      <c r="S39" s="19"/>
      <c r="T39" s="19"/>
      <c r="U39" s="19"/>
      <c r="V39" s="19"/>
    </row>
    <row r="40" customFormat="false" ht="15" hidden="false" customHeight="true" outlineLevel="0" collapsed="false">
      <c r="A40" s="8" t="s">
        <v>366</v>
      </c>
      <c r="B40" s="9" t="s">
        <v>319</v>
      </c>
      <c r="C40" s="9" t="s">
        <v>367</v>
      </c>
      <c r="D40" s="9" t="s">
        <v>368</v>
      </c>
      <c r="E40" s="10" t="n">
        <v>0.01</v>
      </c>
      <c r="F40" s="10" t="n">
        <v>0.02</v>
      </c>
      <c r="G40" s="10" t="n">
        <v>0.03</v>
      </c>
      <c r="H40" s="11" t="s">
        <v>51</v>
      </c>
      <c r="I40" s="12" t="n">
        <f aca="false">IF(H40="L",E40,IF(H40="H",G40,F40))</f>
        <v>0.02</v>
      </c>
      <c r="J40" s="23" t="s">
        <v>108</v>
      </c>
      <c r="K40" s="9" t="s">
        <v>178</v>
      </c>
      <c r="L40" s="14" t="s">
        <v>369</v>
      </c>
      <c r="M40" s="18"/>
      <c r="N40" s="19"/>
      <c r="O40" s="19"/>
      <c r="P40" s="19"/>
      <c r="Q40" s="19"/>
      <c r="R40" s="19"/>
      <c r="S40" s="19"/>
      <c r="T40" s="19"/>
      <c r="U40" s="19"/>
      <c r="V40" s="19"/>
    </row>
    <row r="41" customFormat="false" ht="39" hidden="false" customHeight="true" outlineLevel="0" collapsed="false">
      <c r="A41" s="8" t="s">
        <v>370</v>
      </c>
      <c r="B41" s="9" t="s">
        <v>371</v>
      </c>
      <c r="C41" s="9" t="s">
        <v>372</v>
      </c>
      <c r="D41" s="9" t="s">
        <v>373</v>
      </c>
      <c r="E41" s="28" t="n">
        <v>65</v>
      </c>
      <c r="F41" s="28" t="n">
        <v>100</v>
      </c>
      <c r="G41" s="28" t="n">
        <v>150</v>
      </c>
      <c r="H41" s="11" t="s">
        <v>51</v>
      </c>
      <c r="I41" s="29" t="n">
        <f aca="false">IF(H41="L",E41,IF(H41="H",G41,F41))</f>
        <v>100</v>
      </c>
      <c r="J41" s="13" t="s">
        <v>52</v>
      </c>
      <c r="K41" s="9" t="s">
        <v>68</v>
      </c>
      <c r="L41" s="14" t="s">
        <v>374</v>
      </c>
      <c r="M41" s="18"/>
      <c r="N41" s="9" t="s">
        <v>375</v>
      </c>
      <c r="O41" s="15" t="s">
        <v>376</v>
      </c>
      <c r="P41" s="14" t="s">
        <v>377</v>
      </c>
      <c r="Q41" s="9" t="s">
        <v>378</v>
      </c>
      <c r="R41" s="15" t="s">
        <v>379</v>
      </c>
      <c r="S41" s="14" t="s">
        <v>380</v>
      </c>
      <c r="T41" s="19"/>
      <c r="U41" s="19"/>
      <c r="V41" s="19"/>
    </row>
    <row r="42" customFormat="false" ht="26.25" hidden="false" customHeight="true" outlineLevel="0" collapsed="false">
      <c r="A42" s="8" t="s">
        <v>381</v>
      </c>
      <c r="B42" s="9" t="s">
        <v>371</v>
      </c>
      <c r="C42" s="9" t="s">
        <v>382</v>
      </c>
      <c r="D42" s="9" t="s">
        <v>383</v>
      </c>
      <c r="E42" s="16" t="n">
        <v>6</v>
      </c>
      <c r="F42" s="16" t="n">
        <v>10</v>
      </c>
      <c r="G42" s="16" t="n">
        <v>16</v>
      </c>
      <c r="H42" s="11" t="s">
        <v>51</v>
      </c>
      <c r="I42" s="17" t="n">
        <f aca="false">IF(H42="L",E42,IF(H42="H",G42,F42))</f>
        <v>10</v>
      </c>
      <c r="J42" s="13" t="s">
        <v>52</v>
      </c>
      <c r="K42" s="9" t="s">
        <v>53</v>
      </c>
      <c r="L42" s="14" t="s">
        <v>384</v>
      </c>
      <c r="M42" s="18"/>
      <c r="N42" s="9" t="s">
        <v>385</v>
      </c>
      <c r="O42" s="15" t="s">
        <v>386</v>
      </c>
      <c r="P42" s="14" t="s">
        <v>387</v>
      </c>
      <c r="Q42" s="9" t="s">
        <v>388</v>
      </c>
      <c r="R42" s="15" t="s">
        <v>389</v>
      </c>
      <c r="S42" s="14" t="s">
        <v>390</v>
      </c>
      <c r="T42" s="19"/>
      <c r="U42" s="19"/>
      <c r="V42" s="19"/>
    </row>
    <row r="43" customFormat="false" ht="26.25" hidden="false" customHeight="true" outlineLevel="0" collapsed="false">
      <c r="A43" s="8" t="s">
        <v>391</v>
      </c>
      <c r="B43" s="9" t="s">
        <v>371</v>
      </c>
      <c r="C43" s="9" t="s">
        <v>392</v>
      </c>
      <c r="D43" s="9" t="s">
        <v>50</v>
      </c>
      <c r="E43" s="10" t="n">
        <v>0.05</v>
      </c>
      <c r="F43" s="10" t="n">
        <v>0.08</v>
      </c>
      <c r="G43" s="10" t="n">
        <v>0.1</v>
      </c>
      <c r="H43" s="11" t="s">
        <v>51</v>
      </c>
      <c r="I43" s="12" t="n">
        <f aca="false">IF(H43="L",E43,IF(H43="H",G43,F43))</f>
        <v>0.08</v>
      </c>
      <c r="J43" s="13" t="s">
        <v>52</v>
      </c>
      <c r="K43" s="9" t="s">
        <v>68</v>
      </c>
      <c r="L43" s="14" t="s">
        <v>393</v>
      </c>
      <c r="M43" s="18"/>
      <c r="N43" s="9" t="s">
        <v>394</v>
      </c>
      <c r="O43" s="15" t="s">
        <v>395</v>
      </c>
      <c r="P43" s="14" t="s">
        <v>396</v>
      </c>
      <c r="Q43" s="9" t="s">
        <v>397</v>
      </c>
      <c r="R43" s="15" t="s">
        <v>398</v>
      </c>
      <c r="S43" s="14" t="s">
        <v>399</v>
      </c>
      <c r="T43" s="19"/>
      <c r="U43" s="19"/>
      <c r="V43" s="19"/>
    </row>
    <row r="44" customFormat="false" ht="15" hidden="false" customHeight="true" outlineLevel="0" collapsed="false">
      <c r="A44" s="8" t="s">
        <v>400</v>
      </c>
      <c r="B44" s="9" t="s">
        <v>371</v>
      </c>
      <c r="C44" s="9" t="s">
        <v>401</v>
      </c>
      <c r="D44" s="9" t="s">
        <v>50</v>
      </c>
      <c r="E44" s="10" t="n">
        <v>0.35</v>
      </c>
      <c r="F44" s="10" t="n">
        <v>0.65</v>
      </c>
      <c r="G44" s="10" t="n">
        <v>0.85</v>
      </c>
      <c r="H44" s="11" t="s">
        <v>51</v>
      </c>
      <c r="I44" s="12" t="n">
        <f aca="false">IF(H44="L",E44,IF(H44="H",G44,F44))</f>
        <v>0.65</v>
      </c>
      <c r="J44" s="22" t="s">
        <v>81</v>
      </c>
      <c r="K44" s="9" t="s">
        <v>53</v>
      </c>
      <c r="L44" s="14" t="s">
        <v>402</v>
      </c>
      <c r="M44" s="18"/>
      <c r="N44" s="9" t="s">
        <v>403</v>
      </c>
      <c r="O44" s="15" t="s">
        <v>379</v>
      </c>
      <c r="P44" s="14" t="s">
        <v>404</v>
      </c>
      <c r="Q44" s="9" t="s">
        <v>405</v>
      </c>
      <c r="R44" s="15" t="s">
        <v>406</v>
      </c>
      <c r="S44" s="14" t="s">
        <v>407</v>
      </c>
      <c r="T44" s="19"/>
      <c r="U44" s="19"/>
      <c r="V44" s="19"/>
    </row>
    <row r="45" customFormat="false" ht="15" hidden="false" customHeight="true" outlineLevel="0" collapsed="false">
      <c r="A45" s="8" t="s">
        <v>408</v>
      </c>
      <c r="B45" s="9" t="s">
        <v>371</v>
      </c>
      <c r="C45" s="9" t="s">
        <v>409</v>
      </c>
      <c r="D45" s="9" t="s">
        <v>146</v>
      </c>
      <c r="E45" s="26" t="n">
        <v>5</v>
      </c>
      <c r="F45" s="26" t="n">
        <v>6.9</v>
      </c>
      <c r="G45" s="26" t="n">
        <v>8.1</v>
      </c>
      <c r="H45" s="11" t="s">
        <v>51</v>
      </c>
      <c r="I45" s="27" t="n">
        <f aca="false">IF(H45="L",E45,IF(H45="H",G45,F45))</f>
        <v>6.9</v>
      </c>
      <c r="J45" s="22" t="s">
        <v>81</v>
      </c>
      <c r="K45" s="9" t="s">
        <v>53</v>
      </c>
      <c r="L45" s="14" t="s">
        <v>410</v>
      </c>
      <c r="M45" s="14" t="s">
        <v>411</v>
      </c>
      <c r="N45" s="9" t="s">
        <v>412</v>
      </c>
      <c r="O45" s="15" t="s">
        <v>413</v>
      </c>
      <c r="P45" s="14" t="s">
        <v>414</v>
      </c>
      <c r="Q45" s="19"/>
      <c r="R45" s="19"/>
      <c r="S45" s="19"/>
      <c r="T45" s="19"/>
      <c r="U45" s="19"/>
      <c r="V45" s="19"/>
    </row>
    <row r="46" customFormat="false" ht="26.25" hidden="false" customHeight="true" outlineLevel="0" collapsed="false">
      <c r="A46" s="8" t="s">
        <v>415</v>
      </c>
      <c r="B46" s="9" t="s">
        <v>371</v>
      </c>
      <c r="C46" s="9" t="s">
        <v>416</v>
      </c>
      <c r="D46" s="9" t="s">
        <v>50</v>
      </c>
      <c r="E46" s="10" t="n">
        <v>0</v>
      </c>
      <c r="F46" s="10" t="n">
        <v>0</v>
      </c>
      <c r="G46" s="10" t="n">
        <v>0.05</v>
      </c>
      <c r="H46" s="11" t="s">
        <v>51</v>
      </c>
      <c r="I46" s="12" t="n">
        <f aca="false">IF(H46="L",E46,IF(H46="H",G46,F46))</f>
        <v>0</v>
      </c>
      <c r="J46" s="22" t="s">
        <v>81</v>
      </c>
      <c r="K46" s="9" t="s">
        <v>68</v>
      </c>
      <c r="L46" s="14" t="s">
        <v>417</v>
      </c>
      <c r="M46" s="18"/>
      <c r="N46" s="9" t="s">
        <v>418</v>
      </c>
      <c r="O46" s="15" t="s">
        <v>419</v>
      </c>
      <c r="P46" s="14" t="s">
        <v>420</v>
      </c>
      <c r="Q46" s="9" t="s">
        <v>421</v>
      </c>
      <c r="R46" s="15" t="s">
        <v>422</v>
      </c>
      <c r="S46" s="14" t="s">
        <v>423</v>
      </c>
      <c r="T46" s="19"/>
      <c r="U46" s="19"/>
      <c r="V46" s="19"/>
    </row>
    <row r="47" customFormat="false" ht="26.25" hidden="false" customHeight="true" outlineLevel="0" collapsed="false">
      <c r="A47" s="8" t="s">
        <v>424</v>
      </c>
      <c r="B47" s="9" t="s">
        <v>371</v>
      </c>
      <c r="C47" s="9" t="s">
        <v>425</v>
      </c>
      <c r="D47" s="9" t="s">
        <v>50</v>
      </c>
      <c r="E47" s="10" t="n">
        <v>0</v>
      </c>
      <c r="F47" s="10" t="n">
        <v>0.05</v>
      </c>
      <c r="G47" s="10" t="n">
        <v>0.25</v>
      </c>
      <c r="H47" s="11" t="s">
        <v>51</v>
      </c>
      <c r="I47" s="12" t="n">
        <f aca="false">IF(H47="L",E47,IF(H47="H",G47,F47))</f>
        <v>0.05</v>
      </c>
      <c r="J47" s="23" t="s">
        <v>108</v>
      </c>
      <c r="K47" s="9" t="s">
        <v>178</v>
      </c>
      <c r="L47" s="14" t="s">
        <v>426</v>
      </c>
      <c r="M47" s="14" t="s">
        <v>427</v>
      </c>
      <c r="N47" s="9" t="s">
        <v>428</v>
      </c>
      <c r="O47" s="15" t="s">
        <v>429</v>
      </c>
      <c r="P47" s="14" t="s">
        <v>430</v>
      </c>
      <c r="Q47" s="19"/>
      <c r="R47" s="19"/>
      <c r="S47" s="19"/>
      <c r="T47" s="19"/>
      <c r="U47" s="19"/>
      <c r="V47" s="19"/>
    </row>
    <row r="48" customFormat="false" ht="15" hidden="false" customHeight="true" outlineLevel="0" collapsed="false">
      <c r="A48" s="8" t="s">
        <v>431</v>
      </c>
      <c r="B48" s="9" t="s">
        <v>371</v>
      </c>
      <c r="C48" s="9" t="s">
        <v>432</v>
      </c>
      <c r="D48" s="9" t="s">
        <v>337</v>
      </c>
      <c r="E48" s="16" t="n">
        <v>100</v>
      </c>
      <c r="F48" s="16" t="n">
        <v>200</v>
      </c>
      <c r="G48" s="16" t="n">
        <v>400</v>
      </c>
      <c r="H48" s="11" t="s">
        <v>51</v>
      </c>
      <c r="I48" s="17" t="n">
        <f aca="false">IF(H48="L",E48,IF(H48="H",G48,F48))</f>
        <v>200</v>
      </c>
      <c r="J48" s="23" t="s">
        <v>108</v>
      </c>
      <c r="K48" s="9" t="s">
        <v>109</v>
      </c>
      <c r="L48" s="14" t="s">
        <v>433</v>
      </c>
      <c r="M48" s="18"/>
      <c r="N48" s="19"/>
      <c r="O48" s="19"/>
      <c r="P48" s="19"/>
      <c r="Q48" s="19"/>
      <c r="R48" s="19"/>
      <c r="S48" s="19"/>
      <c r="T48" s="19"/>
      <c r="U48" s="19"/>
      <c r="V48" s="19"/>
    </row>
    <row r="49" customFormat="false" ht="39" hidden="false" customHeight="true" outlineLevel="0" collapsed="false">
      <c r="A49" s="8" t="s">
        <v>434</v>
      </c>
      <c r="B49" s="9" t="s">
        <v>371</v>
      </c>
      <c r="C49" s="9" t="s">
        <v>435</v>
      </c>
      <c r="D49" s="9" t="s">
        <v>146</v>
      </c>
      <c r="E49" s="26" t="n">
        <v>4.5</v>
      </c>
      <c r="F49" s="26" t="n">
        <v>6.5</v>
      </c>
      <c r="G49" s="26" t="n">
        <v>9</v>
      </c>
      <c r="H49" s="11" t="s">
        <v>51</v>
      </c>
      <c r="I49" s="27" t="n">
        <f aca="false">IF(H49="L",E49,IF(H49="H",G49,F49))</f>
        <v>6.5</v>
      </c>
      <c r="J49" s="13" t="s">
        <v>52</v>
      </c>
      <c r="K49" s="9" t="s">
        <v>53</v>
      </c>
      <c r="L49" s="14" t="s">
        <v>436</v>
      </c>
      <c r="M49" s="18"/>
      <c r="N49" s="9" t="s">
        <v>437</v>
      </c>
      <c r="O49" s="15" t="s">
        <v>438</v>
      </c>
      <c r="P49" s="14" t="s">
        <v>439</v>
      </c>
      <c r="Q49" s="9" t="s">
        <v>440</v>
      </c>
      <c r="R49" s="15" t="s">
        <v>441</v>
      </c>
      <c r="S49" s="14" t="s">
        <v>442</v>
      </c>
      <c r="T49" s="19"/>
      <c r="U49" s="19"/>
      <c r="V49" s="19"/>
    </row>
    <row r="50" customFormat="false" ht="26.25" hidden="false" customHeight="true" outlineLevel="0" collapsed="false">
      <c r="A50" s="8" t="s">
        <v>443</v>
      </c>
      <c r="B50" s="9" t="s">
        <v>444</v>
      </c>
      <c r="C50" s="9" t="s">
        <v>445</v>
      </c>
      <c r="D50" s="9" t="s">
        <v>190</v>
      </c>
      <c r="E50" s="28" t="n">
        <v>1</v>
      </c>
      <c r="F50" s="28" t="n">
        <v>2</v>
      </c>
      <c r="G50" s="28" t="n">
        <v>4</v>
      </c>
      <c r="H50" s="11" t="s">
        <v>51</v>
      </c>
      <c r="I50" s="29" t="n">
        <f aca="false">IF(H50="L",E50,IF(H50="H",G50,F50))</f>
        <v>2</v>
      </c>
      <c r="J50" s="23" t="s">
        <v>108</v>
      </c>
      <c r="K50" s="9" t="s">
        <v>178</v>
      </c>
      <c r="L50" s="14" t="s">
        <v>446</v>
      </c>
      <c r="M50" s="18"/>
      <c r="N50" s="9" t="s">
        <v>447</v>
      </c>
      <c r="O50" s="15" t="s">
        <v>448</v>
      </c>
      <c r="P50" s="14" t="s">
        <v>449</v>
      </c>
      <c r="Q50" s="19"/>
      <c r="R50" s="19"/>
      <c r="S50" s="19"/>
      <c r="T50" s="19"/>
      <c r="U50" s="19"/>
      <c r="V50" s="19"/>
    </row>
    <row r="51" customFormat="false" ht="26.25" hidden="false" customHeight="true" outlineLevel="0" collapsed="false">
      <c r="A51" s="8" t="s">
        <v>450</v>
      </c>
      <c r="B51" s="9" t="s">
        <v>444</v>
      </c>
      <c r="C51" s="9" t="s">
        <v>451</v>
      </c>
      <c r="D51" s="9" t="s">
        <v>452</v>
      </c>
      <c r="E51" s="28" t="n">
        <v>150</v>
      </c>
      <c r="F51" s="28" t="n">
        <v>350</v>
      </c>
      <c r="G51" s="28" t="n">
        <v>600</v>
      </c>
      <c r="H51" s="11" t="s">
        <v>51</v>
      </c>
      <c r="I51" s="29" t="n">
        <f aca="false">IF(H51="L",E51,IF(H51="H",G51,F51))</f>
        <v>350</v>
      </c>
      <c r="J51" s="13" t="s">
        <v>52</v>
      </c>
      <c r="K51" s="9" t="s">
        <v>68</v>
      </c>
      <c r="L51" s="14" t="s">
        <v>453</v>
      </c>
      <c r="M51" s="18"/>
      <c r="N51" s="9" t="s">
        <v>454</v>
      </c>
      <c r="O51" s="15" t="s">
        <v>455</v>
      </c>
      <c r="P51" s="14" t="s">
        <v>456</v>
      </c>
      <c r="Q51" s="19"/>
      <c r="R51" s="19"/>
      <c r="S51" s="19"/>
      <c r="T51" s="19"/>
      <c r="U51" s="19"/>
      <c r="V51" s="19"/>
    </row>
    <row r="52" customFormat="false" ht="39" hidden="false" customHeight="true" outlineLevel="0" collapsed="false">
      <c r="A52" s="8" t="s">
        <v>457</v>
      </c>
      <c r="B52" s="9" t="s">
        <v>444</v>
      </c>
      <c r="C52" s="9" t="s">
        <v>458</v>
      </c>
      <c r="D52" s="9" t="s">
        <v>50</v>
      </c>
      <c r="E52" s="10" t="n">
        <v>0.2</v>
      </c>
      <c r="F52" s="10" t="n">
        <v>0.4</v>
      </c>
      <c r="G52" s="10" t="n">
        <v>0.65</v>
      </c>
      <c r="H52" s="11" t="s">
        <v>51</v>
      </c>
      <c r="I52" s="12" t="n">
        <f aca="false">IF(H52="L",E52,IF(H52="H",G52,F52))</f>
        <v>0.4</v>
      </c>
      <c r="J52" s="22" t="s">
        <v>81</v>
      </c>
      <c r="K52" s="9" t="s">
        <v>53</v>
      </c>
      <c r="L52" s="14" t="s">
        <v>459</v>
      </c>
      <c r="M52" s="14" t="s">
        <v>460</v>
      </c>
      <c r="N52" s="9" t="s">
        <v>461</v>
      </c>
      <c r="O52" s="15" t="s">
        <v>448</v>
      </c>
      <c r="P52" s="14" t="s">
        <v>462</v>
      </c>
      <c r="Q52" s="9" t="s">
        <v>463</v>
      </c>
      <c r="R52" s="15" t="s">
        <v>464</v>
      </c>
      <c r="S52" s="14" t="s">
        <v>465</v>
      </c>
      <c r="T52" s="19"/>
      <c r="U52" s="19"/>
      <c r="V52" s="19"/>
    </row>
    <row r="53" customFormat="false" ht="26.25" hidden="false" customHeight="true" outlineLevel="0" collapsed="false">
      <c r="A53" s="8" t="s">
        <v>466</v>
      </c>
      <c r="B53" s="9" t="s">
        <v>444</v>
      </c>
      <c r="C53" s="9" t="s">
        <v>467</v>
      </c>
      <c r="D53" s="9" t="s">
        <v>67</v>
      </c>
      <c r="E53" s="16" t="n">
        <v>4</v>
      </c>
      <c r="F53" s="16" t="n">
        <v>6</v>
      </c>
      <c r="G53" s="16" t="n">
        <v>9</v>
      </c>
      <c r="H53" s="11" t="s">
        <v>51</v>
      </c>
      <c r="I53" s="17" t="n">
        <f aca="false">IF(H53="L",E53,IF(H53="H",G53,F53))</f>
        <v>6</v>
      </c>
      <c r="J53" s="22" t="s">
        <v>81</v>
      </c>
      <c r="K53" s="9" t="s">
        <v>53</v>
      </c>
      <c r="L53" s="14" t="s">
        <v>468</v>
      </c>
      <c r="M53" s="18"/>
      <c r="N53" s="9" t="s">
        <v>469</v>
      </c>
      <c r="O53" s="15" t="s">
        <v>470</v>
      </c>
      <c r="P53" s="14" t="s">
        <v>471</v>
      </c>
      <c r="Q53" s="9" t="s">
        <v>472</v>
      </c>
      <c r="R53" s="15" t="s">
        <v>473</v>
      </c>
      <c r="S53" s="14" t="s">
        <v>474</v>
      </c>
      <c r="T53" s="9" t="s">
        <v>475</v>
      </c>
      <c r="U53" s="15" t="s">
        <v>476</v>
      </c>
      <c r="V53" s="14" t="s">
        <v>477</v>
      </c>
    </row>
    <row r="54" customFormat="false" ht="26.25" hidden="false" customHeight="true" outlineLevel="0" collapsed="false">
      <c r="A54" s="8" t="s">
        <v>478</v>
      </c>
      <c r="B54" s="9" t="s">
        <v>444</v>
      </c>
      <c r="C54" s="9" t="s">
        <v>479</v>
      </c>
      <c r="D54" s="9" t="s">
        <v>67</v>
      </c>
      <c r="E54" s="16" t="n">
        <v>10</v>
      </c>
      <c r="F54" s="16" t="n">
        <v>14</v>
      </c>
      <c r="G54" s="16" t="n">
        <v>18</v>
      </c>
      <c r="H54" s="11" t="s">
        <v>51</v>
      </c>
      <c r="I54" s="17" t="n">
        <f aca="false">IF(H54="L",E54,IF(H54="H",G54,F54))</f>
        <v>14</v>
      </c>
      <c r="J54" s="22" t="s">
        <v>81</v>
      </c>
      <c r="K54" s="9" t="s">
        <v>53</v>
      </c>
      <c r="L54" s="14" t="s">
        <v>468</v>
      </c>
      <c r="M54" s="18"/>
      <c r="N54" s="9" t="s">
        <v>469</v>
      </c>
      <c r="O54" s="15" t="s">
        <v>470</v>
      </c>
      <c r="P54" s="14" t="s">
        <v>471</v>
      </c>
      <c r="Q54" s="9" t="s">
        <v>472</v>
      </c>
      <c r="R54" s="15" t="s">
        <v>473</v>
      </c>
      <c r="S54" s="14" t="s">
        <v>474</v>
      </c>
      <c r="T54" s="9" t="s">
        <v>475</v>
      </c>
      <c r="U54" s="15" t="s">
        <v>476</v>
      </c>
      <c r="V54" s="14" t="s">
        <v>477</v>
      </c>
    </row>
    <row r="55" customFormat="false" ht="26.25" hidden="false" customHeight="true" outlineLevel="0" collapsed="false">
      <c r="A55" s="8" t="s">
        <v>480</v>
      </c>
      <c r="B55" s="9" t="s">
        <v>444</v>
      </c>
      <c r="C55" s="9" t="s">
        <v>481</v>
      </c>
      <c r="D55" s="9" t="s">
        <v>482</v>
      </c>
      <c r="E55" s="16" t="n">
        <v>2</v>
      </c>
      <c r="F55" s="16" t="n">
        <v>4</v>
      </c>
      <c r="G55" s="16" t="n">
        <v>6</v>
      </c>
      <c r="H55" s="11" t="s">
        <v>51</v>
      </c>
      <c r="I55" s="17" t="n">
        <f aca="false">IF(H55="L",E55,IF(H55="H",G55,F55))</f>
        <v>4</v>
      </c>
      <c r="J55" s="13" t="s">
        <v>52</v>
      </c>
      <c r="K55" s="9" t="s">
        <v>53</v>
      </c>
      <c r="L55" s="14" t="s">
        <v>483</v>
      </c>
      <c r="M55" s="14" t="s">
        <v>484</v>
      </c>
      <c r="N55" s="9" t="s">
        <v>485</v>
      </c>
      <c r="O55" s="15" t="s">
        <v>486</v>
      </c>
      <c r="P55" s="14" t="s">
        <v>487</v>
      </c>
      <c r="Q55" s="9" t="s">
        <v>488</v>
      </c>
      <c r="R55" s="15" t="s">
        <v>489</v>
      </c>
      <c r="S55" s="14" t="s">
        <v>490</v>
      </c>
      <c r="T55" s="19"/>
      <c r="U55" s="19"/>
      <c r="V55" s="19"/>
    </row>
    <row r="56" customFormat="false" ht="26.25" hidden="false" customHeight="true" outlineLevel="0" collapsed="false">
      <c r="A56" s="8" t="s">
        <v>491</v>
      </c>
      <c r="B56" s="9" t="s">
        <v>444</v>
      </c>
      <c r="C56" s="9" t="s">
        <v>492</v>
      </c>
      <c r="D56" s="9" t="s">
        <v>50</v>
      </c>
      <c r="E56" s="10" t="n">
        <v>0.2</v>
      </c>
      <c r="F56" s="10" t="n">
        <v>0.4</v>
      </c>
      <c r="G56" s="10" t="n">
        <v>0.7</v>
      </c>
      <c r="H56" s="11" t="s">
        <v>51</v>
      </c>
      <c r="I56" s="12" t="n">
        <f aca="false">IF(H56="L",E56,IF(H56="H",G56,F56))</f>
        <v>0.4</v>
      </c>
      <c r="J56" s="23" t="s">
        <v>108</v>
      </c>
      <c r="K56" s="9" t="s">
        <v>178</v>
      </c>
      <c r="L56" s="14" t="s">
        <v>493</v>
      </c>
      <c r="M56" s="18"/>
      <c r="N56" s="9" t="s">
        <v>494</v>
      </c>
      <c r="O56" s="15" t="s">
        <v>495</v>
      </c>
      <c r="P56" s="14" t="s">
        <v>496</v>
      </c>
      <c r="Q56" s="9" t="s">
        <v>357</v>
      </c>
      <c r="R56" s="15" t="s">
        <v>358</v>
      </c>
      <c r="S56" s="14" t="s">
        <v>497</v>
      </c>
      <c r="T56" s="19"/>
      <c r="U56" s="19"/>
      <c r="V56" s="19"/>
    </row>
    <row r="57" customFormat="false" ht="15" hidden="false" customHeight="true" outlineLevel="0" collapsed="false">
      <c r="A57" s="8" t="s">
        <v>498</v>
      </c>
      <c r="B57" s="9" t="s">
        <v>444</v>
      </c>
      <c r="C57" s="9" t="s">
        <v>499</v>
      </c>
      <c r="D57" s="9" t="s">
        <v>337</v>
      </c>
      <c r="E57" s="16" t="n">
        <v>5000</v>
      </c>
      <c r="F57" s="16" t="n">
        <v>10000</v>
      </c>
      <c r="G57" s="16" t="n">
        <v>20000</v>
      </c>
      <c r="H57" s="11" t="s">
        <v>51</v>
      </c>
      <c r="I57" s="17" t="n">
        <f aca="false">IF(H57="L",E57,IF(H57="H",G57,F57))</f>
        <v>10000</v>
      </c>
      <c r="J57" s="23" t="s">
        <v>108</v>
      </c>
      <c r="K57" s="9" t="s">
        <v>109</v>
      </c>
      <c r="L57" s="14" t="s">
        <v>500</v>
      </c>
      <c r="M57" s="18"/>
      <c r="N57" s="19"/>
      <c r="O57" s="19"/>
      <c r="P57" s="19"/>
      <c r="Q57" s="19"/>
      <c r="R57" s="19"/>
      <c r="S57" s="19"/>
      <c r="T57" s="19"/>
      <c r="U57" s="19"/>
      <c r="V57" s="19"/>
    </row>
    <row r="58" customFormat="false" ht="15" hidden="false" customHeight="true" outlineLevel="0" collapsed="false">
      <c r="A58" s="8" t="s">
        <v>501</v>
      </c>
      <c r="B58" s="9" t="s">
        <v>444</v>
      </c>
      <c r="C58" s="9" t="s">
        <v>502</v>
      </c>
      <c r="D58" s="9" t="s">
        <v>503</v>
      </c>
      <c r="E58" s="20" t="n">
        <v>1</v>
      </c>
      <c r="F58" s="20" t="n">
        <v>1.5</v>
      </c>
      <c r="G58" s="20" t="n">
        <v>2</v>
      </c>
      <c r="H58" s="11" t="s">
        <v>51</v>
      </c>
      <c r="I58" s="21" t="n">
        <f aca="false">IF(H58="L",E58,IF(H58="H",G58,F58))</f>
        <v>1.5</v>
      </c>
      <c r="J58" s="13" t="s">
        <v>52</v>
      </c>
      <c r="K58" s="9" t="s">
        <v>68</v>
      </c>
      <c r="L58" s="14" t="s">
        <v>504</v>
      </c>
      <c r="M58" s="18"/>
      <c r="N58" s="9" t="s">
        <v>505</v>
      </c>
      <c r="O58" s="15" t="s">
        <v>506</v>
      </c>
      <c r="P58" s="14" t="s">
        <v>507</v>
      </c>
      <c r="Q58" s="9" t="s">
        <v>508</v>
      </c>
      <c r="R58" s="15" t="s">
        <v>509</v>
      </c>
      <c r="S58" s="14" t="s">
        <v>510</v>
      </c>
      <c r="T58" s="19"/>
      <c r="U58" s="19"/>
      <c r="V58" s="19"/>
    </row>
    <row r="59" customFormat="false" ht="15" hidden="false" customHeight="true" outlineLevel="0" collapsed="false">
      <c r="A59" s="8" t="s">
        <v>511</v>
      </c>
      <c r="B59" s="9" t="s">
        <v>444</v>
      </c>
      <c r="C59" s="9" t="s">
        <v>512</v>
      </c>
      <c r="D59" s="9" t="s">
        <v>513</v>
      </c>
      <c r="E59" s="28" t="n">
        <v>10</v>
      </c>
      <c r="F59" s="28" t="n">
        <v>22</v>
      </c>
      <c r="G59" s="28" t="n">
        <v>35</v>
      </c>
      <c r="H59" s="11" t="s">
        <v>51</v>
      </c>
      <c r="I59" s="29" t="n">
        <f aca="false">IF(H59="L",E59,IF(H59="H",G59,F59))</f>
        <v>22</v>
      </c>
      <c r="J59" s="13" t="s">
        <v>52</v>
      </c>
      <c r="K59" s="9" t="s">
        <v>68</v>
      </c>
      <c r="L59" s="14" t="s">
        <v>504</v>
      </c>
      <c r="M59" s="18"/>
      <c r="N59" s="9" t="s">
        <v>505</v>
      </c>
      <c r="O59" s="15" t="s">
        <v>506</v>
      </c>
      <c r="P59" s="14" t="s">
        <v>507</v>
      </c>
      <c r="Q59" s="9" t="s">
        <v>508</v>
      </c>
      <c r="R59" s="15" t="s">
        <v>509</v>
      </c>
      <c r="S59" s="14" t="s">
        <v>510</v>
      </c>
      <c r="T59" s="19"/>
      <c r="U59" s="19"/>
      <c r="V59" s="19"/>
    </row>
    <row r="60" customFormat="false" ht="39" hidden="false" customHeight="true" outlineLevel="0" collapsed="false">
      <c r="A60" s="8" t="s">
        <v>514</v>
      </c>
      <c r="B60" s="9" t="s">
        <v>515</v>
      </c>
      <c r="C60" s="9" t="s">
        <v>516</v>
      </c>
      <c r="D60" s="9" t="s">
        <v>133</v>
      </c>
      <c r="E60" s="16" t="n">
        <v>150</v>
      </c>
      <c r="F60" s="16" t="n">
        <v>240</v>
      </c>
      <c r="G60" s="16" t="n">
        <v>320</v>
      </c>
      <c r="H60" s="11" t="s">
        <v>51</v>
      </c>
      <c r="I60" s="17" t="n">
        <f aca="false">IF(H60="L",E60,IF(H60="H",G60,F60))</f>
        <v>240</v>
      </c>
      <c r="J60" s="13" t="s">
        <v>52</v>
      </c>
      <c r="K60" s="9" t="s">
        <v>53</v>
      </c>
      <c r="L60" s="14" t="s">
        <v>517</v>
      </c>
      <c r="M60" s="14" t="s">
        <v>518</v>
      </c>
      <c r="N60" s="9" t="s">
        <v>138</v>
      </c>
      <c r="O60" s="15" t="s">
        <v>139</v>
      </c>
      <c r="P60" s="14" t="s">
        <v>152</v>
      </c>
      <c r="Q60" s="9" t="s">
        <v>519</v>
      </c>
      <c r="R60" s="15" t="s">
        <v>520</v>
      </c>
      <c r="S60" s="14" t="s">
        <v>521</v>
      </c>
      <c r="T60" s="9" t="s">
        <v>522</v>
      </c>
      <c r="U60" s="15" t="s">
        <v>523</v>
      </c>
      <c r="V60" s="14" t="s">
        <v>524</v>
      </c>
    </row>
    <row r="61" customFormat="false" ht="26.25" hidden="false" customHeight="true" outlineLevel="0" collapsed="false">
      <c r="A61" s="8" t="s">
        <v>525</v>
      </c>
      <c r="B61" s="9" t="s">
        <v>515</v>
      </c>
      <c r="C61" s="9" t="s">
        <v>526</v>
      </c>
      <c r="D61" s="9" t="s">
        <v>527</v>
      </c>
      <c r="E61" s="10" t="n">
        <v>0.2</v>
      </c>
      <c r="F61" s="10" t="n">
        <v>0.25</v>
      </c>
      <c r="G61" s="10" t="n">
        <v>0.32</v>
      </c>
      <c r="H61" s="11" t="s">
        <v>51</v>
      </c>
      <c r="I61" s="12" t="n">
        <f aca="false">IF(H61="L",E61,IF(H61="H",G61,F61))</f>
        <v>0.25</v>
      </c>
      <c r="J61" s="13" t="s">
        <v>52</v>
      </c>
      <c r="K61" s="9" t="s">
        <v>68</v>
      </c>
      <c r="L61" s="14" t="s">
        <v>528</v>
      </c>
      <c r="M61" s="14" t="s">
        <v>529</v>
      </c>
      <c r="N61" s="9" t="s">
        <v>530</v>
      </c>
      <c r="O61" s="15" t="s">
        <v>531</v>
      </c>
      <c r="P61" s="14" t="s">
        <v>532</v>
      </c>
      <c r="Q61" s="9" t="s">
        <v>533</v>
      </c>
      <c r="R61" s="15" t="s">
        <v>534</v>
      </c>
      <c r="S61" s="14" t="s">
        <v>535</v>
      </c>
      <c r="T61" s="19"/>
      <c r="U61" s="19"/>
      <c r="V61" s="19"/>
    </row>
    <row r="62" customFormat="false" ht="26.25" hidden="false" customHeight="true" outlineLevel="0" collapsed="false">
      <c r="A62" s="8" t="s">
        <v>536</v>
      </c>
      <c r="B62" s="9" t="s">
        <v>515</v>
      </c>
      <c r="C62" s="9" t="s">
        <v>537</v>
      </c>
      <c r="D62" s="9" t="s">
        <v>190</v>
      </c>
      <c r="E62" s="28" t="n">
        <v>5000</v>
      </c>
      <c r="F62" s="28" t="n">
        <v>25000</v>
      </c>
      <c r="G62" s="28" t="n">
        <v>80000</v>
      </c>
      <c r="H62" s="11" t="s">
        <v>51</v>
      </c>
      <c r="I62" s="29" t="n">
        <f aca="false">IF(H62="L",E62,IF(H62="H",G62,F62))</f>
        <v>25000</v>
      </c>
      <c r="J62" s="13" t="s">
        <v>52</v>
      </c>
      <c r="K62" s="9" t="s">
        <v>68</v>
      </c>
      <c r="L62" s="14" t="s">
        <v>538</v>
      </c>
      <c r="M62" s="18"/>
      <c r="N62" s="9" t="s">
        <v>530</v>
      </c>
      <c r="O62" s="15" t="s">
        <v>531</v>
      </c>
      <c r="P62" s="14" t="s">
        <v>539</v>
      </c>
      <c r="Q62" s="19"/>
      <c r="R62" s="19"/>
      <c r="S62" s="19"/>
      <c r="T62" s="19"/>
      <c r="U62" s="19"/>
      <c r="V62" s="19"/>
    </row>
    <row r="63" customFormat="false" ht="26.25" hidden="false" customHeight="true" outlineLevel="0" collapsed="false">
      <c r="A63" s="8" t="s">
        <v>540</v>
      </c>
      <c r="B63" s="9" t="s">
        <v>515</v>
      </c>
      <c r="C63" s="9" t="s">
        <v>541</v>
      </c>
      <c r="D63" s="9" t="s">
        <v>542</v>
      </c>
      <c r="E63" s="28" t="n">
        <v>40</v>
      </c>
      <c r="F63" s="28" t="n">
        <v>120</v>
      </c>
      <c r="G63" s="28" t="n">
        <v>300</v>
      </c>
      <c r="H63" s="11" t="s">
        <v>51</v>
      </c>
      <c r="I63" s="29" t="n">
        <f aca="false">IF(H63="L",E63,IF(H63="H",G63,F63))</f>
        <v>120</v>
      </c>
      <c r="J63" s="13" t="s">
        <v>52</v>
      </c>
      <c r="K63" s="9" t="s">
        <v>53</v>
      </c>
      <c r="L63" s="14" t="s">
        <v>543</v>
      </c>
      <c r="M63" s="18"/>
      <c r="N63" s="9" t="s">
        <v>544</v>
      </c>
      <c r="O63" s="15" t="s">
        <v>545</v>
      </c>
      <c r="P63" s="14" t="s">
        <v>546</v>
      </c>
      <c r="Q63" s="9" t="s">
        <v>547</v>
      </c>
      <c r="R63" s="15" t="s">
        <v>548</v>
      </c>
      <c r="S63" s="14" t="s">
        <v>549</v>
      </c>
      <c r="T63" s="19"/>
      <c r="U63" s="19"/>
      <c r="V63" s="19"/>
    </row>
    <row r="64" customFormat="false" ht="26.25" hidden="false" customHeight="true" outlineLevel="0" collapsed="false">
      <c r="A64" s="8" t="s">
        <v>550</v>
      </c>
      <c r="B64" s="9" t="s">
        <v>515</v>
      </c>
      <c r="C64" s="9" t="s">
        <v>551</v>
      </c>
      <c r="D64" s="9" t="s">
        <v>158</v>
      </c>
      <c r="E64" s="28" t="n">
        <v>0</v>
      </c>
      <c r="F64" s="28" t="n">
        <v>30</v>
      </c>
      <c r="G64" s="28" t="n">
        <v>60</v>
      </c>
      <c r="H64" s="11" t="s">
        <v>51</v>
      </c>
      <c r="I64" s="29" t="n">
        <f aca="false">IF(H64="L",E64,IF(H64="H",G64,F64))</f>
        <v>30</v>
      </c>
      <c r="J64" s="13" t="s">
        <v>52</v>
      </c>
      <c r="K64" s="9" t="s">
        <v>53</v>
      </c>
      <c r="L64" s="14" t="s">
        <v>552</v>
      </c>
      <c r="M64" s="18"/>
      <c r="N64" s="9" t="s">
        <v>519</v>
      </c>
      <c r="O64" s="15" t="s">
        <v>520</v>
      </c>
      <c r="P64" s="14" t="s">
        <v>553</v>
      </c>
      <c r="Q64" s="9" t="s">
        <v>554</v>
      </c>
      <c r="R64" s="15" t="s">
        <v>555</v>
      </c>
      <c r="S64" s="14" t="s">
        <v>556</v>
      </c>
      <c r="T64" s="19"/>
      <c r="U64" s="19"/>
      <c r="V64" s="19"/>
    </row>
    <row r="65" customFormat="false" ht="15" hidden="false" customHeight="true" outlineLevel="0" collapsed="false">
      <c r="A65" s="8" t="s">
        <v>557</v>
      </c>
      <c r="B65" s="9" t="s">
        <v>515</v>
      </c>
      <c r="C65" s="9" t="s">
        <v>558</v>
      </c>
      <c r="D65" s="9" t="s">
        <v>559</v>
      </c>
      <c r="E65" s="28" t="n">
        <v>100</v>
      </c>
      <c r="F65" s="28" t="n">
        <v>140</v>
      </c>
      <c r="G65" s="28" t="n">
        <v>200</v>
      </c>
      <c r="H65" s="11" t="s">
        <v>51</v>
      </c>
      <c r="I65" s="29" t="n">
        <f aca="false">IF(H65="L",E65,IF(H65="H",G65,F65))</f>
        <v>140</v>
      </c>
      <c r="J65" s="13" t="s">
        <v>52</v>
      </c>
      <c r="K65" s="9" t="s">
        <v>68</v>
      </c>
      <c r="L65" s="14" t="s">
        <v>560</v>
      </c>
      <c r="M65" s="14" t="s">
        <v>561</v>
      </c>
      <c r="N65" s="9" t="s">
        <v>562</v>
      </c>
      <c r="O65" s="15" t="s">
        <v>563</v>
      </c>
      <c r="P65" s="14" t="s">
        <v>564</v>
      </c>
      <c r="Q65" s="9" t="s">
        <v>565</v>
      </c>
      <c r="R65" s="15" t="s">
        <v>566</v>
      </c>
      <c r="S65" s="14" t="s">
        <v>567</v>
      </c>
      <c r="T65" s="9" t="s">
        <v>568</v>
      </c>
      <c r="U65" s="15" t="s">
        <v>569</v>
      </c>
      <c r="V65" s="14" t="s">
        <v>570</v>
      </c>
    </row>
    <row r="66" customFormat="false" ht="26.25" hidden="false" customHeight="true" outlineLevel="0" collapsed="false">
      <c r="A66" s="8" t="s">
        <v>571</v>
      </c>
      <c r="B66" s="9" t="s">
        <v>515</v>
      </c>
      <c r="C66" s="9" t="s">
        <v>572</v>
      </c>
      <c r="D66" s="9" t="s">
        <v>573</v>
      </c>
      <c r="E66" s="20" t="n">
        <v>1.3</v>
      </c>
      <c r="F66" s="20" t="n">
        <v>1.7</v>
      </c>
      <c r="G66" s="20" t="n">
        <v>2.2</v>
      </c>
      <c r="H66" s="11" t="s">
        <v>51</v>
      </c>
      <c r="I66" s="21" t="n">
        <f aca="false">IF(H66="L",E66,IF(H66="H",G66,F66))</f>
        <v>1.7</v>
      </c>
      <c r="J66" s="13" t="s">
        <v>52</v>
      </c>
      <c r="K66" s="9" t="s">
        <v>53</v>
      </c>
      <c r="L66" s="14" t="s">
        <v>574</v>
      </c>
      <c r="M66" s="14" t="s">
        <v>575</v>
      </c>
      <c r="N66" s="9" t="s">
        <v>576</v>
      </c>
      <c r="O66" s="15" t="s">
        <v>577</v>
      </c>
      <c r="P66" s="14" t="s">
        <v>578</v>
      </c>
      <c r="Q66" s="9" t="s">
        <v>579</v>
      </c>
      <c r="R66" s="15" t="s">
        <v>580</v>
      </c>
      <c r="S66" s="14" t="s">
        <v>581</v>
      </c>
      <c r="T66" s="19"/>
      <c r="U66" s="19"/>
      <c r="V66" s="19"/>
    </row>
    <row r="67" customFormat="false" ht="39" hidden="false" customHeight="true" outlineLevel="0" collapsed="false">
      <c r="A67" s="8" t="s">
        <v>582</v>
      </c>
      <c r="B67" s="9" t="s">
        <v>515</v>
      </c>
      <c r="C67" s="9" t="s">
        <v>583</v>
      </c>
      <c r="D67" s="9" t="s">
        <v>584</v>
      </c>
      <c r="E67" s="10" t="n">
        <v>0.15</v>
      </c>
      <c r="F67" s="10" t="n">
        <v>0.25</v>
      </c>
      <c r="G67" s="10" t="n">
        <v>0.35</v>
      </c>
      <c r="H67" s="11" t="s">
        <v>51</v>
      </c>
      <c r="I67" s="12" t="n">
        <f aca="false">IF(H67="L",E67,IF(H67="H",G67,F67))</f>
        <v>0.25</v>
      </c>
      <c r="J67" s="23" t="s">
        <v>108</v>
      </c>
      <c r="K67" s="9" t="s">
        <v>53</v>
      </c>
      <c r="L67" s="14" t="s">
        <v>585</v>
      </c>
      <c r="M67" s="18"/>
      <c r="N67" s="19"/>
      <c r="O67" s="19"/>
      <c r="P67" s="19"/>
      <c r="Q67" s="19"/>
      <c r="R67" s="19"/>
      <c r="S67" s="19"/>
      <c r="T67" s="19"/>
      <c r="U67" s="19"/>
      <c r="V67" s="19"/>
    </row>
    <row r="68" customFormat="false" ht="26.25" hidden="false" customHeight="true" outlineLevel="0" collapsed="false">
      <c r="A68" s="8" t="s">
        <v>586</v>
      </c>
      <c r="B68" s="9" t="s">
        <v>587</v>
      </c>
      <c r="C68" s="9" t="s">
        <v>588</v>
      </c>
      <c r="D68" s="9" t="s">
        <v>190</v>
      </c>
      <c r="E68" s="28" t="n">
        <v>250</v>
      </c>
      <c r="F68" s="28" t="n">
        <v>600</v>
      </c>
      <c r="G68" s="28" t="n">
        <v>1500</v>
      </c>
      <c r="H68" s="11" t="s">
        <v>51</v>
      </c>
      <c r="I68" s="29" t="n">
        <f aca="false">IF(H68="L",E68,IF(H68="H",G68,F68))</f>
        <v>600</v>
      </c>
      <c r="J68" s="22" t="s">
        <v>81</v>
      </c>
      <c r="K68" s="9" t="s">
        <v>53</v>
      </c>
      <c r="L68" s="14" t="s">
        <v>589</v>
      </c>
      <c r="M68" s="14" t="s">
        <v>590</v>
      </c>
      <c r="N68" s="9" t="s">
        <v>591</v>
      </c>
      <c r="O68" s="15" t="s">
        <v>592</v>
      </c>
      <c r="P68" s="14" t="s">
        <v>593</v>
      </c>
      <c r="Q68" s="9" t="s">
        <v>594</v>
      </c>
      <c r="R68" s="15" t="s">
        <v>595</v>
      </c>
      <c r="S68" s="14" t="s">
        <v>596</v>
      </c>
      <c r="T68" s="19"/>
      <c r="U68" s="19"/>
      <c r="V68" s="19"/>
    </row>
    <row r="69" customFormat="false" ht="26.25" hidden="false" customHeight="true" outlineLevel="0" collapsed="false">
      <c r="A69" s="8" t="s">
        <v>597</v>
      </c>
      <c r="B69" s="9" t="s">
        <v>587</v>
      </c>
      <c r="C69" s="9" t="s">
        <v>598</v>
      </c>
      <c r="D69" s="9" t="s">
        <v>50</v>
      </c>
      <c r="E69" s="10" t="n">
        <v>0.3</v>
      </c>
      <c r="F69" s="10" t="n">
        <v>0.4</v>
      </c>
      <c r="G69" s="10" t="n">
        <v>0.55</v>
      </c>
      <c r="H69" s="11" t="s">
        <v>51</v>
      </c>
      <c r="I69" s="12" t="n">
        <f aca="false">IF(H69="L",E69,IF(H69="H",G69,F69))</f>
        <v>0.4</v>
      </c>
      <c r="J69" s="22" t="s">
        <v>81</v>
      </c>
      <c r="K69" s="9" t="s">
        <v>53</v>
      </c>
      <c r="L69" s="14" t="s">
        <v>599</v>
      </c>
      <c r="M69" s="18"/>
      <c r="N69" s="9" t="s">
        <v>600</v>
      </c>
      <c r="O69" s="15" t="s">
        <v>601</v>
      </c>
      <c r="P69" s="14" t="s">
        <v>602</v>
      </c>
      <c r="Q69" s="9" t="s">
        <v>603</v>
      </c>
      <c r="R69" s="15" t="s">
        <v>604</v>
      </c>
      <c r="S69" s="14" t="s">
        <v>605</v>
      </c>
      <c r="T69" s="19"/>
      <c r="U69" s="19"/>
      <c r="V69" s="19"/>
    </row>
    <row r="70" customFormat="false" ht="15" hidden="false" customHeight="true" outlineLevel="0" collapsed="false">
      <c r="A70" s="8" t="s">
        <v>606</v>
      </c>
      <c r="B70" s="9" t="s">
        <v>587</v>
      </c>
      <c r="C70" s="9" t="s">
        <v>607</v>
      </c>
      <c r="D70" s="9" t="s">
        <v>67</v>
      </c>
      <c r="E70" s="16" t="n">
        <v>3</v>
      </c>
      <c r="F70" s="16" t="n">
        <v>5</v>
      </c>
      <c r="G70" s="16" t="n">
        <v>7</v>
      </c>
      <c r="H70" s="11" t="s">
        <v>51</v>
      </c>
      <c r="I70" s="17" t="n">
        <f aca="false">IF(H70="L",E70,IF(H70="H",G70,F70))</f>
        <v>5</v>
      </c>
      <c r="J70" s="13" t="s">
        <v>52</v>
      </c>
      <c r="K70" s="9" t="s">
        <v>68</v>
      </c>
      <c r="L70" s="14" t="s">
        <v>608</v>
      </c>
      <c r="M70" s="18"/>
      <c r="N70" s="9" t="s">
        <v>609</v>
      </c>
      <c r="O70" s="15" t="s">
        <v>610</v>
      </c>
      <c r="P70" s="14" t="s">
        <v>611</v>
      </c>
      <c r="Q70" s="19"/>
      <c r="R70" s="19"/>
      <c r="S70" s="19"/>
      <c r="T70" s="19"/>
      <c r="U70" s="19"/>
      <c r="V70" s="19"/>
    </row>
    <row r="71" customFormat="false" ht="39" hidden="false" customHeight="true" outlineLevel="0" collapsed="false">
      <c r="A71" s="8" t="s">
        <v>612</v>
      </c>
      <c r="B71" s="9" t="s">
        <v>587</v>
      </c>
      <c r="C71" s="9" t="s">
        <v>613</v>
      </c>
      <c r="D71" s="9" t="s">
        <v>614</v>
      </c>
      <c r="E71" s="10" t="n">
        <v>0.0005</v>
      </c>
      <c r="F71" s="10" t="n">
        <v>0.0015</v>
      </c>
      <c r="G71" s="10" t="n">
        <v>0.003</v>
      </c>
      <c r="H71" s="11" t="s">
        <v>51</v>
      </c>
      <c r="I71" s="12" t="n">
        <f aca="false">IF(H71="L",E71,IF(H71="H",G71,F71))</f>
        <v>0.0015</v>
      </c>
      <c r="J71" s="23" t="s">
        <v>108</v>
      </c>
      <c r="K71" s="9" t="s">
        <v>53</v>
      </c>
      <c r="L71" s="14" t="s">
        <v>615</v>
      </c>
      <c r="M71" s="18"/>
      <c r="N71" s="9" t="s">
        <v>616</v>
      </c>
      <c r="O71" s="15" t="s">
        <v>617</v>
      </c>
      <c r="P71" s="14" t="s">
        <v>618</v>
      </c>
      <c r="Q71" s="19"/>
      <c r="R71" s="19"/>
      <c r="S71" s="19"/>
      <c r="T71" s="19"/>
      <c r="U71" s="19"/>
      <c r="V71" s="19"/>
    </row>
    <row r="72" customFormat="false" ht="15" hidden="false" customHeight="true" outlineLevel="0" collapsed="false">
      <c r="A72" s="8" t="s">
        <v>619</v>
      </c>
      <c r="B72" s="9" t="s">
        <v>587</v>
      </c>
      <c r="C72" s="9" t="s">
        <v>620</v>
      </c>
      <c r="D72" s="9" t="s">
        <v>337</v>
      </c>
      <c r="E72" s="16" t="n">
        <v>25</v>
      </c>
      <c r="F72" s="16" t="n">
        <v>50</v>
      </c>
      <c r="G72" s="16" t="n">
        <v>100</v>
      </c>
      <c r="H72" s="11" t="s">
        <v>51</v>
      </c>
      <c r="I72" s="17" t="n">
        <f aca="false">IF(H72="L",E72,IF(H72="H",G72,F72))</f>
        <v>50</v>
      </c>
      <c r="J72" s="23" t="s">
        <v>108</v>
      </c>
      <c r="K72" s="9" t="s">
        <v>109</v>
      </c>
      <c r="L72" s="14" t="s">
        <v>621</v>
      </c>
      <c r="M72" s="18"/>
      <c r="N72" s="19"/>
      <c r="O72" s="19"/>
      <c r="P72" s="19"/>
      <c r="Q72" s="19"/>
      <c r="R72" s="19"/>
      <c r="S72" s="19"/>
      <c r="T72" s="19"/>
      <c r="U72" s="19"/>
      <c r="V72" s="19"/>
    </row>
    <row r="73" customFormat="false" ht="15" hidden="false" customHeight="true" outlineLevel="0" collapsed="false">
      <c r="A73" s="8" t="s">
        <v>622</v>
      </c>
      <c r="B73" s="9" t="s">
        <v>587</v>
      </c>
      <c r="C73" s="9" t="s">
        <v>623</v>
      </c>
      <c r="D73" s="9" t="s">
        <v>133</v>
      </c>
      <c r="E73" s="16" t="n">
        <v>2</v>
      </c>
      <c r="F73" s="16" t="n">
        <v>4</v>
      </c>
      <c r="G73" s="16" t="n">
        <v>8</v>
      </c>
      <c r="H73" s="11" t="s">
        <v>51</v>
      </c>
      <c r="I73" s="17" t="n">
        <f aca="false">IF(H73="L",E73,IF(H73="H",G73,F73))</f>
        <v>4</v>
      </c>
      <c r="J73" s="23" t="s">
        <v>108</v>
      </c>
      <c r="K73" s="9" t="s">
        <v>109</v>
      </c>
      <c r="L73" s="14" t="s">
        <v>624</v>
      </c>
      <c r="M73" s="18"/>
      <c r="N73" s="19"/>
      <c r="O73" s="19"/>
      <c r="P73" s="19"/>
      <c r="Q73" s="19"/>
      <c r="R73" s="19"/>
      <c r="S73" s="19"/>
      <c r="T73" s="19"/>
      <c r="U73" s="19"/>
      <c r="V73" s="19"/>
    </row>
    <row r="74" customFormat="false" ht="51.75" hidden="false" customHeight="true" outlineLevel="0" collapsed="false">
      <c r="A74" s="8" t="s">
        <v>625</v>
      </c>
      <c r="B74" s="9" t="s">
        <v>587</v>
      </c>
      <c r="C74" s="9" t="s">
        <v>626</v>
      </c>
      <c r="D74" s="9" t="s">
        <v>158</v>
      </c>
      <c r="E74" s="28" t="n">
        <v>20</v>
      </c>
      <c r="F74" s="28" t="n">
        <v>35</v>
      </c>
      <c r="G74" s="28" t="n">
        <v>60</v>
      </c>
      <c r="H74" s="11" t="s">
        <v>51</v>
      </c>
      <c r="I74" s="29" t="n">
        <f aca="false">IF(H74="L",E74,IF(H74="H",G74,F74))</f>
        <v>35</v>
      </c>
      <c r="J74" s="13" t="s">
        <v>52</v>
      </c>
      <c r="K74" s="9" t="s">
        <v>53</v>
      </c>
      <c r="L74" s="14" t="s">
        <v>627</v>
      </c>
      <c r="M74" s="18"/>
      <c r="N74" s="9" t="s">
        <v>628</v>
      </c>
      <c r="O74" s="15" t="s">
        <v>629</v>
      </c>
      <c r="P74" s="14" t="s">
        <v>630</v>
      </c>
      <c r="Q74" s="9" t="s">
        <v>519</v>
      </c>
      <c r="R74" s="15" t="s">
        <v>520</v>
      </c>
      <c r="S74" s="14" t="s">
        <v>631</v>
      </c>
      <c r="T74" s="19"/>
      <c r="U74" s="19"/>
      <c r="V74" s="19"/>
    </row>
    <row r="75" customFormat="false" ht="26.25" hidden="false" customHeight="true" outlineLevel="0" collapsed="false">
      <c r="A75" s="8" t="s">
        <v>632</v>
      </c>
      <c r="B75" s="9" t="s">
        <v>587</v>
      </c>
      <c r="C75" s="9" t="s">
        <v>633</v>
      </c>
      <c r="D75" s="9" t="s">
        <v>158</v>
      </c>
      <c r="E75" s="28" t="n">
        <v>4</v>
      </c>
      <c r="F75" s="28" t="n">
        <v>10</v>
      </c>
      <c r="G75" s="28" t="n">
        <v>18</v>
      </c>
      <c r="H75" s="11" t="s">
        <v>51</v>
      </c>
      <c r="I75" s="29" t="n">
        <f aca="false">IF(H75="L",E75,IF(H75="H",G75,F75))</f>
        <v>10</v>
      </c>
      <c r="J75" s="13" t="s">
        <v>52</v>
      </c>
      <c r="K75" s="9" t="s">
        <v>53</v>
      </c>
      <c r="L75" s="14" t="s">
        <v>634</v>
      </c>
      <c r="M75" s="18"/>
      <c r="N75" s="9" t="s">
        <v>635</v>
      </c>
      <c r="O75" s="15" t="s">
        <v>636</v>
      </c>
      <c r="P75" s="14" t="s">
        <v>637</v>
      </c>
      <c r="Q75" s="9" t="s">
        <v>638</v>
      </c>
      <c r="R75" s="15" t="s">
        <v>639</v>
      </c>
      <c r="S75" s="14" t="s">
        <v>640</v>
      </c>
      <c r="T75" s="19"/>
      <c r="U75" s="19"/>
      <c r="V75" s="19"/>
    </row>
    <row r="76" customFormat="false" ht="26.25" hidden="false" customHeight="true" outlineLevel="0" collapsed="false">
      <c r="A76" s="8" t="s">
        <v>641</v>
      </c>
      <c r="B76" s="9" t="s">
        <v>642</v>
      </c>
      <c r="C76" s="9" t="s">
        <v>643</v>
      </c>
      <c r="D76" s="9" t="s">
        <v>644</v>
      </c>
      <c r="E76" s="28" t="n">
        <v>55</v>
      </c>
      <c r="F76" s="28" t="n">
        <v>70</v>
      </c>
      <c r="G76" s="28" t="n">
        <v>95</v>
      </c>
      <c r="H76" s="11" t="s">
        <v>51</v>
      </c>
      <c r="I76" s="29" t="n">
        <f aca="false">IF(H76="L",E76,IF(H76="H",G76,F76))</f>
        <v>70</v>
      </c>
      <c r="J76" s="22" t="s">
        <v>81</v>
      </c>
      <c r="K76" s="9" t="s">
        <v>53</v>
      </c>
      <c r="L76" s="14" t="s">
        <v>645</v>
      </c>
      <c r="M76" s="14" t="s">
        <v>646</v>
      </c>
      <c r="N76" s="9" t="s">
        <v>647</v>
      </c>
      <c r="O76" s="15" t="s">
        <v>648</v>
      </c>
      <c r="P76" s="14" t="s">
        <v>649</v>
      </c>
      <c r="Q76" s="9" t="s">
        <v>650</v>
      </c>
      <c r="R76" s="15" t="s">
        <v>651</v>
      </c>
      <c r="S76" s="14" t="s">
        <v>652</v>
      </c>
      <c r="T76" s="19"/>
      <c r="U76" s="19"/>
      <c r="V76" s="19"/>
    </row>
    <row r="77" customFormat="false" ht="15" hidden="false" customHeight="true" outlineLevel="0" collapsed="false">
      <c r="A77" s="8" t="s">
        <v>653</v>
      </c>
      <c r="B77" s="9" t="s">
        <v>642</v>
      </c>
      <c r="C77" s="9" t="s">
        <v>654</v>
      </c>
      <c r="D77" s="9" t="s">
        <v>281</v>
      </c>
      <c r="E77" s="16" t="n">
        <v>360</v>
      </c>
      <c r="F77" s="16" t="n">
        <v>570</v>
      </c>
      <c r="G77" s="16" t="n">
        <v>700</v>
      </c>
      <c r="H77" s="11" t="s">
        <v>51</v>
      </c>
      <c r="I77" s="17" t="n">
        <f aca="false">IF(H77="L",E77,IF(H77="H",G77,F77))</f>
        <v>570</v>
      </c>
      <c r="J77" s="23" t="s">
        <v>108</v>
      </c>
      <c r="K77" s="9" t="s">
        <v>68</v>
      </c>
      <c r="L77" s="14" t="s">
        <v>655</v>
      </c>
      <c r="M77" s="18"/>
      <c r="N77" s="19"/>
      <c r="O77" s="19"/>
      <c r="P77" s="19"/>
      <c r="Q77" s="19"/>
      <c r="R77" s="19"/>
      <c r="S77" s="19"/>
      <c r="T77" s="19"/>
      <c r="U77" s="19"/>
      <c r="V77" s="19"/>
    </row>
    <row r="78" customFormat="false" ht="15" hidden="false" customHeight="true" outlineLevel="0" collapsed="false">
      <c r="A78" s="8" t="s">
        <v>656</v>
      </c>
      <c r="B78" s="9" t="s">
        <v>642</v>
      </c>
      <c r="C78" s="9" t="s">
        <v>657</v>
      </c>
      <c r="D78" s="9" t="s">
        <v>658</v>
      </c>
      <c r="E78" s="10" t="n">
        <v>0.4</v>
      </c>
      <c r="F78" s="10" t="n">
        <v>0.75</v>
      </c>
      <c r="G78" s="10" t="n">
        <v>1</v>
      </c>
      <c r="H78" s="11" t="s">
        <v>51</v>
      </c>
      <c r="I78" s="12" t="n">
        <f aca="false">IF(H78="L",E78,IF(H78="H",G78,F78))</f>
        <v>0.75</v>
      </c>
      <c r="J78" s="23" t="s">
        <v>108</v>
      </c>
      <c r="K78" s="9" t="s">
        <v>178</v>
      </c>
      <c r="L78" s="14" t="s">
        <v>659</v>
      </c>
      <c r="M78" s="18"/>
      <c r="N78" s="19"/>
      <c r="O78" s="19"/>
      <c r="P78" s="19"/>
      <c r="Q78" s="19"/>
      <c r="R78" s="19"/>
      <c r="S78" s="19"/>
      <c r="T78" s="19"/>
      <c r="U78" s="19"/>
      <c r="V78" s="19"/>
    </row>
    <row r="79" customFormat="false" ht="15" hidden="false" customHeight="true" outlineLevel="0" collapsed="false">
      <c r="A79" s="8" t="s">
        <v>660</v>
      </c>
      <c r="B79" s="9" t="s">
        <v>642</v>
      </c>
      <c r="C79" s="9" t="s">
        <v>661</v>
      </c>
      <c r="D79" s="9" t="s">
        <v>662</v>
      </c>
      <c r="E79" s="28" t="n">
        <v>10</v>
      </c>
      <c r="F79" s="28" t="n">
        <v>25</v>
      </c>
      <c r="G79" s="28" t="n">
        <v>55</v>
      </c>
      <c r="H79" s="11" t="s">
        <v>51</v>
      </c>
      <c r="I79" s="29" t="n">
        <f aca="false">IF(H79="L",E79,IF(H79="H",G79,F79))</f>
        <v>25</v>
      </c>
      <c r="J79" s="13" t="s">
        <v>52</v>
      </c>
      <c r="K79" s="9" t="s">
        <v>53</v>
      </c>
      <c r="L79" s="14" t="s">
        <v>663</v>
      </c>
      <c r="M79" s="18"/>
      <c r="N79" s="9" t="s">
        <v>664</v>
      </c>
      <c r="O79" s="15" t="s">
        <v>665</v>
      </c>
      <c r="P79" s="14" t="s">
        <v>666</v>
      </c>
      <c r="Q79" s="19"/>
      <c r="R79" s="19"/>
      <c r="S79" s="19"/>
      <c r="T79" s="19"/>
      <c r="U79" s="19"/>
      <c r="V79" s="19"/>
    </row>
    <row r="80" customFormat="false" ht="26.25" hidden="false" customHeight="true" outlineLevel="0" collapsed="false">
      <c r="A80" s="8" t="s">
        <v>667</v>
      </c>
      <c r="B80" s="9" t="s">
        <v>642</v>
      </c>
      <c r="C80" s="9" t="s">
        <v>668</v>
      </c>
      <c r="D80" s="9" t="s">
        <v>669</v>
      </c>
      <c r="E80" s="16" t="n">
        <v>300</v>
      </c>
      <c r="F80" s="16" t="n">
        <v>500</v>
      </c>
      <c r="G80" s="16" t="n">
        <v>1000</v>
      </c>
      <c r="H80" s="11" t="s">
        <v>51</v>
      </c>
      <c r="I80" s="17" t="n">
        <f aca="false">IF(H80="L",E80,IF(H80="H",G80,F80))</f>
        <v>500</v>
      </c>
      <c r="J80" s="23" t="s">
        <v>108</v>
      </c>
      <c r="K80" s="9" t="s">
        <v>109</v>
      </c>
      <c r="L80" s="14" t="s">
        <v>670</v>
      </c>
      <c r="M80" s="18"/>
      <c r="N80" s="19"/>
      <c r="O80" s="19"/>
      <c r="P80" s="19"/>
      <c r="Q80" s="19"/>
      <c r="R80" s="19"/>
      <c r="S80" s="19"/>
      <c r="T80" s="19"/>
      <c r="U80" s="19"/>
      <c r="V80" s="19"/>
    </row>
    <row r="81" customFormat="false" ht="26.25" hidden="false" customHeight="true" outlineLevel="0" collapsed="false">
      <c r="A81" s="8" t="s">
        <v>671</v>
      </c>
      <c r="B81" s="9" t="s">
        <v>642</v>
      </c>
      <c r="C81" s="9" t="s">
        <v>672</v>
      </c>
      <c r="D81" s="9" t="s">
        <v>190</v>
      </c>
      <c r="E81" s="28" t="n">
        <v>15000</v>
      </c>
      <c r="F81" s="28" t="n">
        <v>35000</v>
      </c>
      <c r="G81" s="28" t="n">
        <v>70000</v>
      </c>
      <c r="H81" s="11" t="s">
        <v>51</v>
      </c>
      <c r="I81" s="29" t="n">
        <f aca="false">IF(H81="L",E81,IF(H81="H",G81,F81))</f>
        <v>35000</v>
      </c>
      <c r="J81" s="23" t="s">
        <v>108</v>
      </c>
      <c r="K81" s="9" t="s">
        <v>178</v>
      </c>
      <c r="L81" s="14" t="s">
        <v>673</v>
      </c>
      <c r="M81" s="18"/>
      <c r="N81" s="9" t="s">
        <v>674</v>
      </c>
      <c r="O81" s="15" t="s">
        <v>675</v>
      </c>
      <c r="P81" s="14" t="s">
        <v>676</v>
      </c>
      <c r="Q81" s="19"/>
      <c r="R81" s="19"/>
      <c r="S81" s="19"/>
      <c r="T81" s="19"/>
      <c r="U81" s="19"/>
      <c r="V81" s="19"/>
    </row>
    <row r="82" customFormat="false" ht="15" hidden="false" customHeight="true" outlineLevel="0" collapsed="false">
      <c r="A82" s="8" t="s">
        <v>677</v>
      </c>
      <c r="B82" s="9" t="s">
        <v>642</v>
      </c>
      <c r="C82" s="9" t="s">
        <v>678</v>
      </c>
      <c r="D82" s="9" t="s">
        <v>281</v>
      </c>
      <c r="E82" s="24" t="n">
        <v>0</v>
      </c>
      <c r="F82" s="24" t="n">
        <v>0.1</v>
      </c>
      <c r="G82" s="24" t="n">
        <v>0.3</v>
      </c>
      <c r="H82" s="11" t="s">
        <v>51</v>
      </c>
      <c r="I82" s="25" t="n">
        <f aca="false">IF(H82="L",E82,IF(H82="H",G82,F82))</f>
        <v>0.1</v>
      </c>
      <c r="J82" s="23" t="s">
        <v>108</v>
      </c>
      <c r="K82" s="9" t="s">
        <v>178</v>
      </c>
      <c r="L82" s="14" t="s">
        <v>679</v>
      </c>
      <c r="M82" s="18"/>
      <c r="N82" s="19"/>
      <c r="O82" s="19"/>
      <c r="P82" s="19"/>
      <c r="Q82" s="19"/>
      <c r="R82" s="19"/>
      <c r="S82" s="19"/>
      <c r="T82" s="19"/>
      <c r="U82" s="19"/>
      <c r="V82" s="19"/>
    </row>
    <row r="83" customFormat="false" ht="15" hidden="false" customHeight="true" outlineLevel="0" collapsed="false">
      <c r="A83" s="8" t="s">
        <v>680</v>
      </c>
      <c r="B83" s="9" t="s">
        <v>642</v>
      </c>
      <c r="C83" s="9" t="s">
        <v>367</v>
      </c>
      <c r="D83" s="9" t="s">
        <v>368</v>
      </c>
      <c r="E83" s="10" t="n">
        <v>0.01</v>
      </c>
      <c r="F83" s="10" t="n">
        <v>0.02</v>
      </c>
      <c r="G83" s="10" t="n">
        <v>0.04</v>
      </c>
      <c r="H83" s="11" t="s">
        <v>51</v>
      </c>
      <c r="I83" s="12" t="n">
        <f aca="false">IF(H83="L",E83,IF(H83="H",G83,F83))</f>
        <v>0.02</v>
      </c>
      <c r="J83" s="13" t="s">
        <v>52</v>
      </c>
      <c r="K83" s="9" t="s">
        <v>68</v>
      </c>
      <c r="L83" s="14" t="s">
        <v>681</v>
      </c>
      <c r="M83" s="18"/>
      <c r="N83" s="9" t="s">
        <v>664</v>
      </c>
      <c r="O83" s="15" t="s">
        <v>665</v>
      </c>
      <c r="P83" s="14" t="s">
        <v>682</v>
      </c>
      <c r="Q83" s="19"/>
      <c r="R83" s="19"/>
      <c r="S83" s="19"/>
      <c r="T83" s="19"/>
      <c r="U83" s="19"/>
      <c r="V83" s="19"/>
    </row>
    <row r="84" customFormat="false" ht="26.25" hidden="false" customHeight="true" outlineLevel="0" collapsed="false">
      <c r="A84" s="8" t="s">
        <v>683</v>
      </c>
      <c r="B84" s="9" t="s">
        <v>684</v>
      </c>
      <c r="C84" s="9" t="s">
        <v>685</v>
      </c>
      <c r="D84" s="9" t="s">
        <v>686</v>
      </c>
      <c r="E84" s="28" t="n">
        <v>800</v>
      </c>
      <c r="F84" s="28" t="n">
        <v>1000</v>
      </c>
      <c r="G84" s="28" t="n">
        <v>1300</v>
      </c>
      <c r="H84" s="11" t="s">
        <v>51</v>
      </c>
      <c r="I84" s="29" t="n">
        <f aca="false">IF(H84="L",E84,IF(H84="H",G84,F84))</f>
        <v>1000</v>
      </c>
      <c r="J84" s="22" t="s">
        <v>81</v>
      </c>
      <c r="K84" s="9" t="s">
        <v>53</v>
      </c>
      <c r="L84" s="14" t="s">
        <v>687</v>
      </c>
      <c r="M84" s="18"/>
      <c r="N84" s="9" t="s">
        <v>688</v>
      </c>
      <c r="O84" s="15" t="s">
        <v>689</v>
      </c>
      <c r="P84" s="14" t="s">
        <v>690</v>
      </c>
      <c r="Q84" s="9" t="s">
        <v>691</v>
      </c>
      <c r="R84" s="15" t="s">
        <v>692</v>
      </c>
      <c r="S84" s="14" t="s">
        <v>693</v>
      </c>
      <c r="T84" s="19"/>
      <c r="U84" s="19"/>
      <c r="V84" s="19"/>
    </row>
    <row r="85" customFormat="false" ht="26.25" hidden="false" customHeight="true" outlineLevel="0" collapsed="false">
      <c r="A85" s="8" t="s">
        <v>694</v>
      </c>
      <c r="B85" s="9" t="s">
        <v>684</v>
      </c>
      <c r="C85" s="9" t="s">
        <v>695</v>
      </c>
      <c r="D85" s="9" t="s">
        <v>696</v>
      </c>
      <c r="E85" s="16" t="n">
        <v>1350</v>
      </c>
      <c r="F85" s="16" t="n">
        <v>1480</v>
      </c>
      <c r="G85" s="16" t="n">
        <v>1560</v>
      </c>
      <c r="H85" s="11" t="s">
        <v>51</v>
      </c>
      <c r="I85" s="17" t="n">
        <f aca="false">IF(H85="L",E85,IF(H85="H",G85,F85))</f>
        <v>1480</v>
      </c>
      <c r="J85" s="22" t="s">
        <v>81</v>
      </c>
      <c r="K85" s="9" t="s">
        <v>53</v>
      </c>
      <c r="L85" s="14" t="s">
        <v>697</v>
      </c>
      <c r="M85" s="14" t="s">
        <v>698</v>
      </c>
      <c r="N85" s="9" t="s">
        <v>699</v>
      </c>
      <c r="O85" s="15" t="s">
        <v>700</v>
      </c>
      <c r="P85" s="14" t="s">
        <v>701</v>
      </c>
      <c r="Q85" s="9" t="s">
        <v>702</v>
      </c>
      <c r="R85" s="15" t="s">
        <v>703</v>
      </c>
      <c r="S85" s="14" t="s">
        <v>704</v>
      </c>
      <c r="T85" s="19"/>
      <c r="U85" s="19"/>
      <c r="V85" s="19"/>
    </row>
    <row r="86" customFormat="false" ht="26.25" hidden="false" customHeight="true" outlineLevel="0" collapsed="false">
      <c r="A86" s="8" t="s">
        <v>705</v>
      </c>
      <c r="B86" s="9" t="s">
        <v>684</v>
      </c>
      <c r="C86" s="9" t="s">
        <v>706</v>
      </c>
      <c r="D86" s="9" t="s">
        <v>707</v>
      </c>
      <c r="E86" s="26" t="n">
        <v>0.18</v>
      </c>
      <c r="F86" s="26" t="n">
        <v>0.19</v>
      </c>
      <c r="G86" s="26" t="n">
        <v>0.21</v>
      </c>
      <c r="H86" s="11" t="s">
        <v>51</v>
      </c>
      <c r="I86" s="27" t="n">
        <f aca="false">IF(H86="L",E86,IF(H86="H",G86,F86))</f>
        <v>0.19</v>
      </c>
      <c r="J86" s="22" t="s">
        <v>81</v>
      </c>
      <c r="K86" s="9" t="s">
        <v>68</v>
      </c>
      <c r="L86" s="14" t="s">
        <v>708</v>
      </c>
      <c r="M86" s="18"/>
      <c r="N86" s="9" t="s">
        <v>709</v>
      </c>
      <c r="O86" s="15" t="s">
        <v>710</v>
      </c>
      <c r="P86" s="14" t="s">
        <v>711</v>
      </c>
      <c r="Q86" s="19"/>
      <c r="R86" s="19"/>
      <c r="S86" s="19"/>
      <c r="T86" s="19"/>
      <c r="U86" s="19"/>
      <c r="V86" s="19"/>
    </row>
    <row r="87" customFormat="false" ht="26.25" hidden="false" customHeight="true" outlineLevel="0" collapsed="false">
      <c r="A87" s="8" t="s">
        <v>712</v>
      </c>
      <c r="B87" s="9" t="s">
        <v>684</v>
      </c>
      <c r="C87" s="9" t="s">
        <v>713</v>
      </c>
      <c r="D87" s="9" t="s">
        <v>707</v>
      </c>
      <c r="E87" s="26" t="n">
        <v>0.45</v>
      </c>
      <c r="F87" s="26" t="n">
        <v>0.53</v>
      </c>
      <c r="G87" s="26" t="n">
        <v>0.68</v>
      </c>
      <c r="H87" s="11" t="s">
        <v>51</v>
      </c>
      <c r="I87" s="27" t="n">
        <f aca="false">IF(H87="L",E87,IF(H87="H",G87,F87))</f>
        <v>0.53</v>
      </c>
      <c r="J87" s="22" t="s">
        <v>81</v>
      </c>
      <c r="K87" s="9" t="s">
        <v>53</v>
      </c>
      <c r="L87" s="14" t="s">
        <v>714</v>
      </c>
      <c r="M87" s="14" t="s">
        <v>715</v>
      </c>
      <c r="N87" s="9" t="s">
        <v>716</v>
      </c>
      <c r="O87" s="15" t="s">
        <v>717</v>
      </c>
      <c r="P87" s="14" t="s">
        <v>718</v>
      </c>
      <c r="Q87" s="9" t="s">
        <v>719</v>
      </c>
      <c r="R87" s="15" t="s">
        <v>720</v>
      </c>
      <c r="S87" s="14" t="s">
        <v>721</v>
      </c>
      <c r="T87" s="19"/>
      <c r="U87" s="19"/>
      <c r="V87" s="19"/>
    </row>
    <row r="88" customFormat="false" ht="26.25" hidden="false" customHeight="true" outlineLevel="0" collapsed="false">
      <c r="A88" s="8" t="s">
        <v>722</v>
      </c>
      <c r="B88" s="9" t="s">
        <v>684</v>
      </c>
      <c r="C88" s="9" t="s">
        <v>723</v>
      </c>
      <c r="D88" s="9" t="s">
        <v>707</v>
      </c>
      <c r="E88" s="28" t="n">
        <v>250</v>
      </c>
      <c r="F88" s="28" t="n">
        <v>350</v>
      </c>
      <c r="G88" s="28" t="n">
        <v>500</v>
      </c>
      <c r="H88" s="11" t="s">
        <v>51</v>
      </c>
      <c r="I88" s="29" t="n">
        <f aca="false">IF(H88="L",E88,IF(H88="H",G88,F88))</f>
        <v>350</v>
      </c>
      <c r="J88" s="13" t="s">
        <v>52</v>
      </c>
      <c r="K88" s="9" t="s">
        <v>53</v>
      </c>
      <c r="L88" s="14" t="s">
        <v>724</v>
      </c>
      <c r="M88" s="18"/>
      <c r="N88" s="9" t="s">
        <v>725</v>
      </c>
      <c r="O88" s="15" t="s">
        <v>726</v>
      </c>
      <c r="P88" s="14" t="s">
        <v>727</v>
      </c>
      <c r="Q88" s="19"/>
      <c r="R88" s="19"/>
      <c r="S88" s="19"/>
      <c r="T88" s="19"/>
      <c r="U88" s="19"/>
      <c r="V88" s="19"/>
    </row>
    <row r="89" customFormat="false" ht="26.25" hidden="false" customHeight="true" outlineLevel="0" collapsed="false">
      <c r="A89" s="8" t="s">
        <v>728</v>
      </c>
      <c r="B89" s="9" t="s">
        <v>684</v>
      </c>
      <c r="C89" s="9" t="s">
        <v>729</v>
      </c>
      <c r="D89" s="9" t="s">
        <v>730</v>
      </c>
      <c r="E89" s="16" t="n">
        <v>20</v>
      </c>
      <c r="F89" s="16" t="n">
        <v>30</v>
      </c>
      <c r="G89" s="16" t="n">
        <v>50</v>
      </c>
      <c r="H89" s="11" t="s">
        <v>51</v>
      </c>
      <c r="I89" s="17" t="n">
        <f aca="false">IF(H89="L",E89,IF(H89="H",G89,F89))</f>
        <v>30</v>
      </c>
      <c r="J89" s="23" t="s">
        <v>108</v>
      </c>
      <c r="K89" s="9" t="s">
        <v>178</v>
      </c>
      <c r="L89" s="14" t="s">
        <v>731</v>
      </c>
      <c r="M89" s="18"/>
      <c r="N89" s="9" t="s">
        <v>206</v>
      </c>
      <c r="O89" s="15" t="s">
        <v>207</v>
      </c>
      <c r="P89" s="14" t="s">
        <v>732</v>
      </c>
      <c r="Q89" s="19"/>
      <c r="R89" s="19"/>
      <c r="S89" s="19"/>
      <c r="T89" s="19"/>
      <c r="U89" s="19"/>
      <c r="V89" s="19"/>
    </row>
    <row r="90" customFormat="false" ht="26.25" hidden="false" customHeight="true" outlineLevel="0" collapsed="false">
      <c r="A90" s="8" t="s">
        <v>733</v>
      </c>
      <c r="B90" s="9" t="s">
        <v>684</v>
      </c>
      <c r="C90" s="9" t="s">
        <v>734</v>
      </c>
      <c r="D90" s="9" t="s">
        <v>214</v>
      </c>
      <c r="E90" s="16" t="n">
        <v>4</v>
      </c>
      <c r="F90" s="16" t="n">
        <v>4</v>
      </c>
      <c r="G90" s="16" t="n">
        <v>6</v>
      </c>
      <c r="H90" s="11" t="s">
        <v>51</v>
      </c>
      <c r="I90" s="17" t="n">
        <f aca="false">IF(H90="L",E90,IF(H90="H",G90,F90))</f>
        <v>4</v>
      </c>
      <c r="J90" s="23" t="s">
        <v>108</v>
      </c>
      <c r="K90" s="9" t="s">
        <v>178</v>
      </c>
      <c r="L90" s="14" t="s">
        <v>731</v>
      </c>
      <c r="M90" s="18"/>
      <c r="N90" s="9" t="s">
        <v>206</v>
      </c>
      <c r="O90" s="15" t="s">
        <v>207</v>
      </c>
      <c r="P90" s="14" t="s">
        <v>732</v>
      </c>
      <c r="Q90" s="19"/>
      <c r="R90" s="19"/>
      <c r="S90" s="19"/>
      <c r="T90" s="19"/>
      <c r="U90" s="19"/>
      <c r="V90" s="19"/>
    </row>
    <row r="91" customFormat="false" ht="26.25" hidden="false" customHeight="true" outlineLevel="0" collapsed="false">
      <c r="A91" s="8" t="s">
        <v>735</v>
      </c>
      <c r="B91" s="9" t="s">
        <v>684</v>
      </c>
      <c r="C91" s="9" t="s">
        <v>736</v>
      </c>
      <c r="D91" s="9" t="s">
        <v>190</v>
      </c>
      <c r="E91" s="28" t="n">
        <v>200</v>
      </c>
      <c r="F91" s="28" t="n">
        <v>500</v>
      </c>
      <c r="G91" s="28" t="n">
        <v>2000</v>
      </c>
      <c r="H91" s="11" t="s">
        <v>51</v>
      </c>
      <c r="I91" s="29" t="n">
        <f aca="false">IF(H91="L",E91,IF(H91="H",G91,F91))</f>
        <v>500</v>
      </c>
      <c r="J91" s="23" t="s">
        <v>108</v>
      </c>
      <c r="K91" s="9" t="s">
        <v>178</v>
      </c>
      <c r="L91" s="14" t="s">
        <v>737</v>
      </c>
      <c r="M91" s="18"/>
      <c r="N91" s="9" t="s">
        <v>301</v>
      </c>
      <c r="O91" s="15" t="s">
        <v>220</v>
      </c>
      <c r="P91" s="14" t="s">
        <v>738</v>
      </c>
      <c r="Q91" s="19"/>
      <c r="R91" s="19"/>
      <c r="S91" s="19"/>
      <c r="T91" s="19"/>
      <c r="U91" s="19"/>
      <c r="V91" s="19"/>
    </row>
    <row r="92" customFormat="false" ht="26.25" hidden="false" customHeight="true" outlineLevel="0" collapsed="false">
      <c r="A92" s="8" t="s">
        <v>739</v>
      </c>
      <c r="B92" s="9" t="s">
        <v>684</v>
      </c>
      <c r="C92" s="9" t="s">
        <v>740</v>
      </c>
      <c r="D92" s="9" t="s">
        <v>50</v>
      </c>
      <c r="E92" s="10" t="n">
        <v>0.1</v>
      </c>
      <c r="F92" s="10" t="n">
        <v>0.2</v>
      </c>
      <c r="G92" s="10" t="n">
        <v>0.3</v>
      </c>
      <c r="H92" s="11" t="s">
        <v>51</v>
      </c>
      <c r="I92" s="12" t="n">
        <f aca="false">IF(H92="L",E92,IF(H92="H",G92,F92))</f>
        <v>0.2</v>
      </c>
      <c r="J92" s="13" t="s">
        <v>52</v>
      </c>
      <c r="K92" s="9" t="s">
        <v>53</v>
      </c>
      <c r="L92" s="14" t="s">
        <v>741</v>
      </c>
      <c r="M92" s="18"/>
      <c r="N92" s="9" t="s">
        <v>742</v>
      </c>
      <c r="O92" s="15" t="s">
        <v>743</v>
      </c>
      <c r="P92" s="14" t="s">
        <v>744</v>
      </c>
      <c r="Q92" s="19"/>
      <c r="R92" s="19"/>
      <c r="S92" s="19"/>
      <c r="T92" s="19"/>
      <c r="U92" s="19"/>
      <c r="V92" s="19"/>
    </row>
    <row r="93" customFormat="false" ht="26.25" hidden="false" customHeight="true" outlineLevel="0" collapsed="false">
      <c r="A93" s="8" t="s">
        <v>745</v>
      </c>
      <c r="B93" s="9" t="s">
        <v>684</v>
      </c>
      <c r="C93" s="9" t="s">
        <v>746</v>
      </c>
      <c r="D93" s="9" t="s">
        <v>747</v>
      </c>
      <c r="E93" s="16" t="n">
        <v>50</v>
      </c>
      <c r="F93" s="16" t="n">
        <v>100</v>
      </c>
      <c r="G93" s="16" t="n">
        <v>150</v>
      </c>
      <c r="H93" s="11" t="s">
        <v>51</v>
      </c>
      <c r="I93" s="17" t="n">
        <f aca="false">IF(H93="L",E93,IF(H93="H",G93,F93))</f>
        <v>100</v>
      </c>
      <c r="J93" s="23" t="s">
        <v>108</v>
      </c>
      <c r="K93" s="9" t="s">
        <v>109</v>
      </c>
      <c r="L93" s="14" t="s">
        <v>748</v>
      </c>
      <c r="M93" s="18"/>
      <c r="N93" s="19"/>
      <c r="O93" s="19"/>
      <c r="P93" s="19"/>
      <c r="Q93" s="19"/>
      <c r="R93" s="19"/>
      <c r="S93" s="19"/>
      <c r="T93" s="19"/>
      <c r="U93" s="19"/>
      <c r="V93" s="19"/>
    </row>
    <row r="94" customFormat="false" ht="39" hidden="false" customHeight="true" outlineLevel="0" collapsed="false">
      <c r="A94" s="8" t="s">
        <v>749</v>
      </c>
      <c r="B94" s="9" t="s">
        <v>684</v>
      </c>
      <c r="C94" s="9" t="s">
        <v>750</v>
      </c>
      <c r="D94" s="9" t="s">
        <v>751</v>
      </c>
      <c r="E94" s="28" t="n">
        <v>147</v>
      </c>
      <c r="F94" s="28" t="n">
        <v>346</v>
      </c>
      <c r="G94" s="28" t="n">
        <v>433</v>
      </c>
      <c r="H94" s="11" t="s">
        <v>51</v>
      </c>
      <c r="I94" s="29" t="n">
        <f aca="false">IF(H94="L",E94,IF(H94="H",G94,F94))</f>
        <v>346</v>
      </c>
      <c r="J94" s="22" t="s">
        <v>81</v>
      </c>
      <c r="K94" s="9" t="s">
        <v>53</v>
      </c>
      <c r="L94" s="14" t="s">
        <v>752</v>
      </c>
      <c r="M94" s="18"/>
      <c r="N94" s="9" t="s">
        <v>753</v>
      </c>
      <c r="O94" s="15" t="s">
        <v>754</v>
      </c>
      <c r="P94" s="14" t="s">
        <v>755</v>
      </c>
      <c r="Q94" s="19"/>
      <c r="R94" s="19"/>
      <c r="S94" s="19"/>
      <c r="T94" s="19"/>
      <c r="U94" s="19"/>
      <c r="V94" s="19"/>
    </row>
    <row r="95" customFormat="false" ht="26.25" hidden="false" customHeight="true" outlineLevel="0" collapsed="false">
      <c r="A95" s="8" t="s">
        <v>756</v>
      </c>
      <c r="B95" s="9" t="s">
        <v>684</v>
      </c>
      <c r="C95" s="9" t="s">
        <v>757</v>
      </c>
      <c r="D95" s="9" t="s">
        <v>758</v>
      </c>
      <c r="E95" s="10" t="n">
        <v>0</v>
      </c>
      <c r="F95" s="10" t="n">
        <v>0</v>
      </c>
      <c r="G95" s="10" t="n">
        <v>0</v>
      </c>
      <c r="H95" s="11" t="s">
        <v>51</v>
      </c>
      <c r="I95" s="12" t="n">
        <f aca="false">IF(H95="L",E95,IF(H95="H",G95,F95))</f>
        <v>0</v>
      </c>
      <c r="J95" s="13" t="s">
        <v>52</v>
      </c>
      <c r="K95" s="9" t="s">
        <v>68</v>
      </c>
      <c r="L95" s="14" t="s">
        <v>759</v>
      </c>
      <c r="M95" s="18"/>
      <c r="N95" s="9" t="s">
        <v>760</v>
      </c>
      <c r="O95" s="15" t="s">
        <v>761</v>
      </c>
      <c r="P95" s="14" t="s">
        <v>762</v>
      </c>
      <c r="Q95" s="19"/>
      <c r="R95" s="19"/>
      <c r="S95" s="19"/>
      <c r="T95" s="19"/>
      <c r="U95" s="19"/>
      <c r="V95" s="19"/>
    </row>
    <row r="96" customFormat="false" ht="26.25" hidden="false" customHeight="true" outlineLevel="0" collapsed="false">
      <c r="A96" s="8" t="s">
        <v>763</v>
      </c>
      <c r="B96" s="9" t="s">
        <v>764</v>
      </c>
      <c r="C96" s="9" t="s">
        <v>765</v>
      </c>
      <c r="D96" s="9" t="s">
        <v>766</v>
      </c>
      <c r="E96" s="16" t="n">
        <v>30</v>
      </c>
      <c r="F96" s="16" t="n">
        <v>50</v>
      </c>
      <c r="G96" s="16" t="n">
        <v>80</v>
      </c>
      <c r="H96" s="11" t="s">
        <v>51</v>
      </c>
      <c r="I96" s="17" t="n">
        <f aca="false">IF(H96="L",E96,IF(H96="H",G96,F96))</f>
        <v>50</v>
      </c>
      <c r="J96" s="13" t="s">
        <v>52</v>
      </c>
      <c r="K96" s="9" t="s">
        <v>53</v>
      </c>
      <c r="L96" s="14" t="s">
        <v>767</v>
      </c>
      <c r="M96" s="18"/>
      <c r="N96" s="9" t="s">
        <v>768</v>
      </c>
      <c r="O96" s="15" t="s">
        <v>769</v>
      </c>
      <c r="P96" s="14" t="s">
        <v>770</v>
      </c>
      <c r="Q96" s="9" t="s">
        <v>771</v>
      </c>
      <c r="R96" s="15" t="s">
        <v>772</v>
      </c>
      <c r="S96" s="14" t="s">
        <v>773</v>
      </c>
      <c r="T96" s="19"/>
      <c r="U96" s="19"/>
      <c r="V96" s="19"/>
    </row>
    <row r="97" customFormat="false" ht="26.25" hidden="false" customHeight="true" outlineLevel="0" collapsed="false">
      <c r="A97" s="8" t="s">
        <v>774</v>
      </c>
      <c r="B97" s="9" t="s">
        <v>764</v>
      </c>
      <c r="C97" s="9" t="s">
        <v>775</v>
      </c>
      <c r="D97" s="9" t="s">
        <v>766</v>
      </c>
      <c r="E97" s="16" t="n">
        <v>80</v>
      </c>
      <c r="F97" s="16" t="n">
        <v>100</v>
      </c>
      <c r="G97" s="16" t="n">
        <v>140</v>
      </c>
      <c r="H97" s="11" t="s">
        <v>51</v>
      </c>
      <c r="I97" s="17" t="n">
        <f aca="false">IF(H97="L",E97,IF(H97="H",G97,F97))</f>
        <v>100</v>
      </c>
      <c r="J97" s="13" t="s">
        <v>52</v>
      </c>
      <c r="K97" s="9" t="s">
        <v>53</v>
      </c>
      <c r="L97" s="14" t="s">
        <v>767</v>
      </c>
      <c r="M97" s="18"/>
      <c r="N97" s="9" t="s">
        <v>768</v>
      </c>
      <c r="O97" s="15" t="s">
        <v>769</v>
      </c>
      <c r="P97" s="14" t="s">
        <v>770</v>
      </c>
      <c r="Q97" s="9" t="s">
        <v>771</v>
      </c>
      <c r="R97" s="15" t="s">
        <v>772</v>
      </c>
      <c r="S97" s="14" t="s">
        <v>773</v>
      </c>
      <c r="T97" s="19"/>
      <c r="U97" s="19"/>
      <c r="V97" s="19"/>
    </row>
    <row r="98" customFormat="false" ht="26.25" hidden="false" customHeight="true" outlineLevel="0" collapsed="false">
      <c r="A98" s="8" t="s">
        <v>776</v>
      </c>
      <c r="B98" s="9" t="s">
        <v>764</v>
      </c>
      <c r="C98" s="9" t="s">
        <v>777</v>
      </c>
      <c r="D98" s="9" t="s">
        <v>146</v>
      </c>
      <c r="E98" s="26" t="n">
        <v>5</v>
      </c>
      <c r="F98" s="26" t="n">
        <v>7.5</v>
      </c>
      <c r="G98" s="26" t="n">
        <v>11</v>
      </c>
      <c r="H98" s="11" t="s">
        <v>51</v>
      </c>
      <c r="I98" s="27" t="n">
        <f aca="false">IF(H98="L",E98,IF(H98="H",G98,F98))</f>
        <v>7.5</v>
      </c>
      <c r="J98" s="13" t="s">
        <v>52</v>
      </c>
      <c r="K98" s="9" t="s">
        <v>53</v>
      </c>
      <c r="L98" s="14" t="s">
        <v>778</v>
      </c>
      <c r="M98" s="18"/>
      <c r="N98" s="9" t="s">
        <v>779</v>
      </c>
      <c r="O98" s="15" t="s">
        <v>780</v>
      </c>
      <c r="P98" s="14" t="s">
        <v>781</v>
      </c>
      <c r="Q98" s="9" t="s">
        <v>440</v>
      </c>
      <c r="R98" s="15" t="s">
        <v>441</v>
      </c>
      <c r="S98" s="14" t="s">
        <v>782</v>
      </c>
      <c r="T98" s="19"/>
      <c r="U98" s="19"/>
      <c r="V98" s="19"/>
    </row>
    <row r="99" customFormat="false" ht="39" hidden="false" customHeight="true" outlineLevel="0" collapsed="false">
      <c r="A99" s="8" t="s">
        <v>783</v>
      </c>
      <c r="B99" s="9" t="s">
        <v>764</v>
      </c>
      <c r="C99" s="9" t="s">
        <v>784</v>
      </c>
      <c r="D99" s="9" t="s">
        <v>158</v>
      </c>
      <c r="E99" s="28" t="n">
        <v>100</v>
      </c>
      <c r="F99" s="28" t="n">
        <v>200</v>
      </c>
      <c r="G99" s="28" t="n">
        <v>300</v>
      </c>
      <c r="H99" s="11" t="s">
        <v>51</v>
      </c>
      <c r="I99" s="29" t="n">
        <f aca="false">IF(H99="L",E99,IF(H99="H",G99,F99))</f>
        <v>200</v>
      </c>
      <c r="J99" s="13" t="s">
        <v>52</v>
      </c>
      <c r="K99" s="9" t="s">
        <v>53</v>
      </c>
      <c r="L99" s="14" t="s">
        <v>785</v>
      </c>
      <c r="M99" s="18"/>
      <c r="N99" s="9" t="s">
        <v>779</v>
      </c>
      <c r="O99" s="15" t="s">
        <v>786</v>
      </c>
      <c r="P99" s="14" t="s">
        <v>787</v>
      </c>
      <c r="Q99" s="9" t="s">
        <v>440</v>
      </c>
      <c r="R99" s="15" t="s">
        <v>441</v>
      </c>
      <c r="S99" s="14" t="s">
        <v>782</v>
      </c>
      <c r="T99" s="19"/>
      <c r="U99" s="19"/>
      <c r="V99" s="19"/>
    </row>
    <row r="100" customFormat="false" ht="39" hidden="false" customHeight="true" outlineLevel="0" collapsed="false">
      <c r="A100" s="8" t="s">
        <v>788</v>
      </c>
      <c r="B100" s="9" t="s">
        <v>764</v>
      </c>
      <c r="C100" s="9" t="s">
        <v>789</v>
      </c>
      <c r="D100" s="9" t="s">
        <v>790</v>
      </c>
      <c r="E100" s="26" t="n">
        <v>1.5</v>
      </c>
      <c r="F100" s="26" t="n">
        <v>2</v>
      </c>
      <c r="G100" s="26" t="n">
        <v>3</v>
      </c>
      <c r="H100" s="11" t="s">
        <v>51</v>
      </c>
      <c r="I100" s="27" t="n">
        <f aca="false">IF(H100="L",E100,IF(H100="H",G100,F100))</f>
        <v>2</v>
      </c>
      <c r="J100" s="23" t="s">
        <v>108</v>
      </c>
      <c r="K100" s="9" t="s">
        <v>53</v>
      </c>
      <c r="L100" s="14" t="s">
        <v>791</v>
      </c>
      <c r="M100" s="18"/>
      <c r="N100" s="19"/>
      <c r="O100" s="19"/>
      <c r="P100" s="19"/>
      <c r="Q100" s="19"/>
      <c r="R100" s="19"/>
      <c r="S100" s="19"/>
      <c r="T100" s="19"/>
      <c r="U100" s="19"/>
      <c r="V100" s="19"/>
    </row>
    <row r="101" customFormat="false" ht="39" hidden="false" customHeight="true" outlineLevel="0" collapsed="false">
      <c r="A101" s="8" t="s">
        <v>792</v>
      </c>
      <c r="B101" s="9" t="s">
        <v>764</v>
      </c>
      <c r="C101" s="9" t="s">
        <v>793</v>
      </c>
      <c r="D101" s="9" t="s">
        <v>50</v>
      </c>
      <c r="E101" s="10" t="n">
        <v>0.1</v>
      </c>
      <c r="F101" s="10" t="n">
        <v>0.2</v>
      </c>
      <c r="G101" s="10" t="n">
        <v>0.35</v>
      </c>
      <c r="H101" s="11" t="s">
        <v>51</v>
      </c>
      <c r="I101" s="12" t="n">
        <f aca="false">IF(H101="L",E101,IF(H101="H",G101,F101))</f>
        <v>0.2</v>
      </c>
      <c r="J101" s="23" t="s">
        <v>108</v>
      </c>
      <c r="K101" s="9" t="s">
        <v>53</v>
      </c>
      <c r="L101" s="14" t="s">
        <v>794</v>
      </c>
      <c r="M101" s="18"/>
      <c r="N101" s="19"/>
      <c r="O101" s="19"/>
      <c r="P101" s="19"/>
      <c r="Q101" s="19"/>
      <c r="R101" s="19"/>
      <c r="S101" s="19"/>
      <c r="T101" s="19"/>
      <c r="U101" s="19"/>
      <c r="V101" s="19"/>
    </row>
    <row r="102" customFormat="false" ht="39" hidden="false" customHeight="true" outlineLevel="0" collapsed="false">
      <c r="A102" s="8" t="s">
        <v>795</v>
      </c>
      <c r="B102" s="9" t="s">
        <v>764</v>
      </c>
      <c r="C102" s="9" t="s">
        <v>796</v>
      </c>
      <c r="D102" s="9" t="s">
        <v>797</v>
      </c>
      <c r="E102" s="16" t="n">
        <v>50</v>
      </c>
      <c r="F102" s="16" t="n">
        <v>100</v>
      </c>
      <c r="G102" s="16" t="n">
        <v>200</v>
      </c>
      <c r="H102" s="11" t="s">
        <v>51</v>
      </c>
      <c r="I102" s="17" t="n">
        <f aca="false">IF(H102="L",E102,IF(H102="H",G102,F102))</f>
        <v>100</v>
      </c>
      <c r="J102" s="13" t="s">
        <v>52</v>
      </c>
      <c r="K102" s="9" t="s">
        <v>53</v>
      </c>
      <c r="L102" s="14" t="s">
        <v>798</v>
      </c>
      <c r="M102" s="18"/>
      <c r="N102" s="9" t="s">
        <v>799</v>
      </c>
      <c r="O102" s="15" t="s">
        <v>800</v>
      </c>
      <c r="P102" s="14" t="s">
        <v>801</v>
      </c>
      <c r="Q102" s="9" t="s">
        <v>802</v>
      </c>
      <c r="R102" s="15" t="s">
        <v>803</v>
      </c>
      <c r="S102" s="14" t="s">
        <v>804</v>
      </c>
      <c r="T102" s="19"/>
      <c r="U102" s="19"/>
      <c r="V102" s="19"/>
    </row>
    <row r="103" customFormat="false" ht="15" hidden="false" customHeight="true" outlineLevel="0" collapsed="false">
      <c r="A103" s="8" t="s">
        <v>805</v>
      </c>
      <c r="B103" s="9" t="s">
        <v>764</v>
      </c>
      <c r="C103" s="9" t="s">
        <v>806</v>
      </c>
      <c r="D103" s="9" t="s">
        <v>158</v>
      </c>
      <c r="E103" s="28" t="n">
        <v>1800</v>
      </c>
      <c r="F103" s="28" t="n">
        <v>1900</v>
      </c>
      <c r="G103" s="28" t="n">
        <v>2500</v>
      </c>
      <c r="H103" s="11" t="s">
        <v>51</v>
      </c>
      <c r="I103" s="29" t="n">
        <f aca="false">IF(H103="L",E103,IF(H103="H",G103,F103))</f>
        <v>1900</v>
      </c>
      <c r="J103" s="22" t="s">
        <v>81</v>
      </c>
      <c r="K103" s="9" t="s">
        <v>53</v>
      </c>
      <c r="L103" s="14" t="s">
        <v>807</v>
      </c>
      <c r="M103" s="18"/>
      <c r="N103" s="9" t="s">
        <v>808</v>
      </c>
      <c r="O103" s="15" t="s">
        <v>809</v>
      </c>
      <c r="P103" s="14" t="s">
        <v>810</v>
      </c>
      <c r="Q103" s="19"/>
      <c r="R103" s="19"/>
      <c r="S103" s="19"/>
      <c r="T103" s="19"/>
      <c r="U103" s="19"/>
      <c r="V103" s="19"/>
    </row>
    <row r="104" customFormat="false" ht="26.25" hidden="false" customHeight="true" outlineLevel="0" collapsed="false">
      <c r="A104" s="8" t="s">
        <v>811</v>
      </c>
      <c r="B104" s="9" t="s">
        <v>764</v>
      </c>
      <c r="C104" s="9" t="s">
        <v>812</v>
      </c>
      <c r="D104" s="9" t="s">
        <v>813</v>
      </c>
      <c r="E104" s="10" t="n">
        <v>0.2</v>
      </c>
      <c r="F104" s="10" t="n">
        <v>0.7</v>
      </c>
      <c r="G104" s="10" t="n">
        <v>0.9</v>
      </c>
      <c r="H104" s="11" t="s">
        <v>51</v>
      </c>
      <c r="I104" s="12" t="n">
        <f aca="false">IF(H104="L",E104,IF(H104="H",G104,F104))</f>
        <v>0.7</v>
      </c>
      <c r="J104" s="22" t="s">
        <v>81</v>
      </c>
      <c r="K104" s="9" t="s">
        <v>68</v>
      </c>
      <c r="L104" s="14" t="s">
        <v>814</v>
      </c>
      <c r="M104" s="18"/>
      <c r="N104" s="9" t="s">
        <v>815</v>
      </c>
      <c r="O104" s="15" t="s">
        <v>816</v>
      </c>
      <c r="P104" s="14" t="s">
        <v>817</v>
      </c>
      <c r="Q104" s="19"/>
      <c r="R104" s="19"/>
      <c r="S104" s="19"/>
      <c r="T104" s="19"/>
      <c r="U104" s="19"/>
      <c r="V104" s="19"/>
    </row>
    <row r="105" customFormat="false" ht="26.25" hidden="false" customHeight="true" outlineLevel="0" collapsed="false">
      <c r="A105" s="8" t="s">
        <v>818</v>
      </c>
      <c r="B105" s="9" t="s">
        <v>819</v>
      </c>
      <c r="C105" s="9" t="s">
        <v>820</v>
      </c>
      <c r="D105" s="9" t="s">
        <v>821</v>
      </c>
      <c r="E105" s="28" t="n">
        <v>1</v>
      </c>
      <c r="F105" s="28" t="n">
        <v>4</v>
      </c>
      <c r="G105" s="28" t="n">
        <v>10</v>
      </c>
      <c r="H105" s="11" t="s">
        <v>51</v>
      </c>
      <c r="I105" s="29" t="n">
        <f aca="false">IF(H105="L",E105,IF(H105="H",G105,F105))</f>
        <v>4</v>
      </c>
      <c r="J105" s="22" t="s">
        <v>81</v>
      </c>
      <c r="K105" s="9" t="s">
        <v>53</v>
      </c>
      <c r="L105" s="14" t="s">
        <v>822</v>
      </c>
      <c r="M105" s="14" t="s">
        <v>823</v>
      </c>
      <c r="N105" s="9" t="s">
        <v>824</v>
      </c>
      <c r="O105" s="15" t="s">
        <v>825</v>
      </c>
      <c r="P105" s="14" t="s">
        <v>826</v>
      </c>
      <c r="Q105" s="9" t="s">
        <v>827</v>
      </c>
      <c r="R105" s="15" t="s">
        <v>828</v>
      </c>
      <c r="S105" s="14" t="s">
        <v>829</v>
      </c>
      <c r="T105" s="19"/>
      <c r="U105" s="19"/>
      <c r="V105" s="19"/>
    </row>
    <row r="106" customFormat="false" ht="15" hidden="false" customHeight="true" outlineLevel="0" collapsed="false">
      <c r="A106" s="8" t="s">
        <v>830</v>
      </c>
      <c r="B106" s="9" t="s">
        <v>819</v>
      </c>
      <c r="C106" s="9" t="s">
        <v>831</v>
      </c>
      <c r="D106" s="9" t="s">
        <v>190</v>
      </c>
      <c r="E106" s="28" t="n">
        <v>5000</v>
      </c>
      <c r="F106" s="28" t="n">
        <v>15000</v>
      </c>
      <c r="G106" s="28" t="n">
        <v>30000</v>
      </c>
      <c r="H106" s="11" t="s">
        <v>51</v>
      </c>
      <c r="I106" s="29" t="n">
        <f aca="false">IF(H106="L",E106,IF(H106="H",G106,F106))</f>
        <v>15000</v>
      </c>
      <c r="J106" s="23" t="s">
        <v>108</v>
      </c>
      <c r="K106" s="9" t="s">
        <v>178</v>
      </c>
      <c r="L106" s="14" t="s">
        <v>832</v>
      </c>
      <c r="M106" s="18"/>
      <c r="N106" s="9" t="s">
        <v>827</v>
      </c>
      <c r="O106" s="15" t="s">
        <v>828</v>
      </c>
      <c r="P106" s="14" t="s">
        <v>833</v>
      </c>
      <c r="Q106" s="19"/>
      <c r="R106" s="19"/>
      <c r="S106" s="19"/>
      <c r="T106" s="19"/>
      <c r="U106" s="19"/>
      <c r="V106" s="19"/>
    </row>
    <row r="107" customFormat="false" ht="15" hidden="false" customHeight="true" outlineLevel="0" collapsed="false">
      <c r="A107" s="8" t="s">
        <v>834</v>
      </c>
      <c r="B107" s="9" t="s">
        <v>819</v>
      </c>
      <c r="C107" s="9" t="s">
        <v>835</v>
      </c>
      <c r="D107" s="9" t="s">
        <v>50</v>
      </c>
      <c r="E107" s="10" t="n">
        <v>0.25</v>
      </c>
      <c r="F107" s="10" t="n">
        <v>0.5</v>
      </c>
      <c r="G107" s="10" t="n">
        <v>0.75</v>
      </c>
      <c r="H107" s="11" t="s">
        <v>51</v>
      </c>
      <c r="I107" s="12" t="n">
        <f aca="false">IF(H107="L",E107,IF(H107="H",G107,F107))</f>
        <v>0.5</v>
      </c>
      <c r="J107" s="23" t="s">
        <v>108</v>
      </c>
      <c r="K107" s="9" t="s">
        <v>178</v>
      </c>
      <c r="L107" s="14" t="s">
        <v>836</v>
      </c>
      <c r="M107" s="18"/>
      <c r="N107" s="9" t="s">
        <v>837</v>
      </c>
      <c r="O107" s="15" t="s">
        <v>838</v>
      </c>
      <c r="P107" s="14" t="s">
        <v>839</v>
      </c>
      <c r="Q107" s="19"/>
      <c r="R107" s="19"/>
      <c r="S107" s="19"/>
      <c r="T107" s="19"/>
      <c r="U107" s="19"/>
      <c r="V107" s="19"/>
    </row>
    <row r="108" customFormat="false" ht="15" hidden="false" customHeight="true" outlineLevel="0" collapsed="false">
      <c r="A108" s="8" t="s">
        <v>840</v>
      </c>
      <c r="B108" s="9" t="s">
        <v>819</v>
      </c>
      <c r="C108" s="9" t="s">
        <v>841</v>
      </c>
      <c r="D108" s="9" t="s">
        <v>50</v>
      </c>
      <c r="E108" s="10" t="n">
        <v>0.05</v>
      </c>
      <c r="F108" s="10" t="n">
        <v>0.2</v>
      </c>
      <c r="G108" s="10" t="n">
        <v>0.4</v>
      </c>
      <c r="H108" s="11" t="s">
        <v>51</v>
      </c>
      <c r="I108" s="12" t="n">
        <f aca="false">IF(H108="L",E108,IF(H108="H",G108,F108))</f>
        <v>0.2</v>
      </c>
      <c r="J108" s="23" t="s">
        <v>108</v>
      </c>
      <c r="K108" s="9" t="s">
        <v>53</v>
      </c>
      <c r="L108" s="14" t="s">
        <v>842</v>
      </c>
      <c r="M108" s="18"/>
      <c r="N108" s="9" t="s">
        <v>827</v>
      </c>
      <c r="O108" s="15" t="s">
        <v>828</v>
      </c>
      <c r="P108" s="14" t="s">
        <v>843</v>
      </c>
      <c r="Q108" s="19"/>
      <c r="R108" s="19"/>
      <c r="S108" s="19"/>
      <c r="T108" s="19"/>
      <c r="U108" s="19"/>
      <c r="V108" s="19"/>
    </row>
    <row r="109" customFormat="false" ht="15" hidden="false" customHeight="true" outlineLevel="0" collapsed="false">
      <c r="A109" s="8" t="s">
        <v>844</v>
      </c>
      <c r="B109" s="9" t="s">
        <v>819</v>
      </c>
      <c r="C109" s="9" t="s">
        <v>613</v>
      </c>
      <c r="D109" s="9" t="s">
        <v>614</v>
      </c>
      <c r="E109" s="10" t="n">
        <v>0.0005</v>
      </c>
      <c r="F109" s="10" t="n">
        <v>0.002</v>
      </c>
      <c r="G109" s="10" t="n">
        <v>0.004</v>
      </c>
      <c r="H109" s="11" t="s">
        <v>51</v>
      </c>
      <c r="I109" s="12" t="n">
        <f aca="false">IF(H109="L",E109,IF(H109="H",G109,F109))</f>
        <v>0.002</v>
      </c>
      <c r="J109" s="23" t="s">
        <v>108</v>
      </c>
      <c r="K109" s="9" t="s">
        <v>53</v>
      </c>
      <c r="L109" s="14" t="s">
        <v>845</v>
      </c>
      <c r="M109" s="18"/>
      <c r="N109" s="9" t="s">
        <v>846</v>
      </c>
      <c r="O109" s="15" t="s">
        <v>847</v>
      </c>
      <c r="P109" s="14" t="s">
        <v>848</v>
      </c>
      <c r="Q109" s="19"/>
      <c r="R109" s="19"/>
      <c r="S109" s="19"/>
      <c r="T109" s="19"/>
      <c r="U109" s="19"/>
      <c r="V109" s="19"/>
    </row>
    <row r="110" customFormat="false" ht="26.25" hidden="false" customHeight="true" outlineLevel="0" collapsed="false">
      <c r="A110" s="8" t="s">
        <v>849</v>
      </c>
      <c r="B110" s="9" t="s">
        <v>819</v>
      </c>
      <c r="C110" s="9" t="s">
        <v>850</v>
      </c>
      <c r="D110" s="9" t="s">
        <v>851</v>
      </c>
      <c r="E110" s="16" t="n">
        <v>12</v>
      </c>
      <c r="F110" s="16" t="n">
        <v>20</v>
      </c>
      <c r="G110" s="16" t="n">
        <v>30</v>
      </c>
      <c r="H110" s="11" t="s">
        <v>51</v>
      </c>
      <c r="I110" s="17" t="n">
        <f aca="false">IF(H110="L",E110,IF(H110="H",G110,F110))</f>
        <v>20</v>
      </c>
      <c r="J110" s="13" t="s">
        <v>52</v>
      </c>
      <c r="K110" s="9" t="s">
        <v>53</v>
      </c>
      <c r="L110" s="14" t="s">
        <v>852</v>
      </c>
      <c r="M110" s="18"/>
      <c r="N110" s="9" t="s">
        <v>853</v>
      </c>
      <c r="O110" s="15" t="s">
        <v>854</v>
      </c>
      <c r="P110" s="14" t="s">
        <v>855</v>
      </c>
      <c r="Q110" s="19"/>
      <c r="R110" s="19"/>
      <c r="S110" s="19"/>
      <c r="T110" s="19"/>
      <c r="U110" s="19"/>
      <c r="V110" s="19"/>
    </row>
    <row r="111" customFormat="false" ht="15" hidden="false" customHeight="true" outlineLevel="0" collapsed="false">
      <c r="A111" s="8" t="s">
        <v>856</v>
      </c>
      <c r="B111" s="9" t="s">
        <v>857</v>
      </c>
      <c r="C111" s="9" t="s">
        <v>858</v>
      </c>
      <c r="D111" s="9" t="s">
        <v>859</v>
      </c>
      <c r="E111" s="10" t="n">
        <v>0.00185</v>
      </c>
      <c r="F111" s="10" t="n">
        <v>0.0025</v>
      </c>
      <c r="G111" s="10" t="n">
        <v>0.003</v>
      </c>
      <c r="H111" s="11" t="s">
        <v>51</v>
      </c>
      <c r="I111" s="12" t="n">
        <f aca="false">IF(H111="L",E111,IF(H111="H",G111,F111))</f>
        <v>0.0025</v>
      </c>
      <c r="J111" s="22" t="s">
        <v>81</v>
      </c>
      <c r="K111" s="9" t="s">
        <v>109</v>
      </c>
      <c r="L111" s="14" t="s">
        <v>860</v>
      </c>
      <c r="M111" s="18"/>
      <c r="N111" s="9" t="s">
        <v>861</v>
      </c>
      <c r="O111" s="15" t="s">
        <v>862</v>
      </c>
      <c r="P111" s="14" t="s">
        <v>863</v>
      </c>
      <c r="Q111" s="9" t="s">
        <v>864</v>
      </c>
      <c r="R111" s="15" t="s">
        <v>865</v>
      </c>
      <c r="S111" s="14" t="s">
        <v>866</v>
      </c>
      <c r="T111" s="19"/>
      <c r="U111" s="19"/>
      <c r="V111" s="19"/>
    </row>
    <row r="112" customFormat="false" ht="39" hidden="false" customHeight="true" outlineLevel="0" collapsed="false">
      <c r="A112" s="8" t="s">
        <v>867</v>
      </c>
      <c r="B112" s="9" t="s">
        <v>857</v>
      </c>
      <c r="C112" s="9" t="s">
        <v>868</v>
      </c>
      <c r="D112" s="9" t="s">
        <v>869</v>
      </c>
      <c r="E112" s="10" t="n">
        <v>0.002</v>
      </c>
      <c r="F112" s="10" t="n">
        <v>0.003</v>
      </c>
      <c r="G112" s="10" t="n">
        <v>0.005</v>
      </c>
      <c r="H112" s="11" t="s">
        <v>51</v>
      </c>
      <c r="I112" s="12" t="n">
        <f aca="false">IF(H112="L",E112,IF(H112="H",G112,F112))</f>
        <v>0.003</v>
      </c>
      <c r="J112" s="23" t="s">
        <v>108</v>
      </c>
      <c r="K112" s="9" t="s">
        <v>53</v>
      </c>
      <c r="L112" s="14" t="s">
        <v>870</v>
      </c>
      <c r="M112" s="18"/>
      <c r="N112" s="19"/>
      <c r="O112" s="19"/>
      <c r="P112" s="19"/>
      <c r="Q112" s="19"/>
      <c r="R112" s="19"/>
      <c r="S112" s="19"/>
      <c r="T112" s="19"/>
      <c r="U112" s="19"/>
      <c r="V112" s="19"/>
    </row>
    <row r="113" customFormat="false" ht="15" hidden="false" customHeight="true" outlineLevel="0" collapsed="false">
      <c r="A113" s="8" t="s">
        <v>871</v>
      </c>
      <c r="B113" s="9" t="s">
        <v>857</v>
      </c>
      <c r="C113" s="9" t="s">
        <v>872</v>
      </c>
      <c r="D113" s="9" t="s">
        <v>50</v>
      </c>
      <c r="E113" s="10" t="n">
        <v>0.05</v>
      </c>
      <c r="F113" s="10" t="n">
        <v>0.1</v>
      </c>
      <c r="G113" s="10" t="n">
        <v>0.15</v>
      </c>
      <c r="H113" s="11" t="s">
        <v>51</v>
      </c>
      <c r="I113" s="12" t="n">
        <f aca="false">IF(H113="L",E113,IF(H113="H",G113,F113))</f>
        <v>0.1</v>
      </c>
      <c r="J113" s="13" t="s">
        <v>52</v>
      </c>
      <c r="K113" s="9" t="s">
        <v>53</v>
      </c>
      <c r="L113" s="14" t="s">
        <v>873</v>
      </c>
      <c r="M113" s="18"/>
      <c r="N113" s="9" t="s">
        <v>874</v>
      </c>
      <c r="O113" s="15" t="s">
        <v>875</v>
      </c>
      <c r="P113" s="14" t="s">
        <v>876</v>
      </c>
      <c r="Q113" s="19"/>
      <c r="R113" s="19"/>
      <c r="S113" s="19"/>
      <c r="T113" s="19"/>
      <c r="U113" s="19"/>
      <c r="V113" s="19"/>
    </row>
    <row r="114" customFormat="false" ht="15" hidden="false" customHeight="true" outlineLevel="0" collapsed="false">
      <c r="A114" s="8" t="s">
        <v>877</v>
      </c>
      <c r="B114" s="9" t="s">
        <v>857</v>
      </c>
      <c r="C114" s="9" t="s">
        <v>878</v>
      </c>
      <c r="D114" s="9" t="s">
        <v>190</v>
      </c>
      <c r="E114" s="28" t="n">
        <v>2500</v>
      </c>
      <c r="F114" s="28" t="n">
        <v>10000</v>
      </c>
      <c r="G114" s="28" t="n">
        <v>25000</v>
      </c>
      <c r="H114" s="11" t="s">
        <v>51</v>
      </c>
      <c r="I114" s="29" t="n">
        <f aca="false">IF(H114="L",E114,IF(H114="H",G114,F114))</f>
        <v>10000</v>
      </c>
      <c r="J114" s="13" t="s">
        <v>52</v>
      </c>
      <c r="K114" s="9" t="s">
        <v>53</v>
      </c>
      <c r="L114" s="14" t="s">
        <v>873</v>
      </c>
      <c r="M114" s="18"/>
      <c r="N114" s="9" t="s">
        <v>874</v>
      </c>
      <c r="O114" s="15" t="s">
        <v>875</v>
      </c>
      <c r="P114" s="14" t="s">
        <v>876</v>
      </c>
      <c r="Q114" s="19"/>
      <c r="R114" s="19"/>
      <c r="S114" s="19"/>
      <c r="T114" s="19"/>
      <c r="U114" s="19"/>
      <c r="V114" s="19"/>
    </row>
    <row r="115" customFormat="false" ht="15" hidden="false" customHeight="true" outlineLevel="0" collapsed="false">
      <c r="A115" s="8" t="s">
        <v>879</v>
      </c>
      <c r="B115" s="9" t="s">
        <v>857</v>
      </c>
      <c r="C115" s="9" t="s">
        <v>880</v>
      </c>
      <c r="D115" s="9" t="s">
        <v>50</v>
      </c>
      <c r="E115" s="10" t="n">
        <v>0.4</v>
      </c>
      <c r="F115" s="10" t="n">
        <v>0.7</v>
      </c>
      <c r="G115" s="10" t="n">
        <v>0.9</v>
      </c>
      <c r="H115" s="11" t="s">
        <v>51</v>
      </c>
      <c r="I115" s="12" t="n">
        <f aca="false">IF(H115="L",E115,IF(H115="H",G115,F115))</f>
        <v>0.7</v>
      </c>
      <c r="J115" s="13" t="s">
        <v>52</v>
      </c>
      <c r="K115" s="9" t="s">
        <v>53</v>
      </c>
      <c r="L115" s="14" t="s">
        <v>881</v>
      </c>
      <c r="M115" s="18"/>
      <c r="N115" s="9" t="s">
        <v>882</v>
      </c>
      <c r="O115" s="15" t="s">
        <v>883</v>
      </c>
      <c r="P115" s="14" t="s">
        <v>884</v>
      </c>
      <c r="Q115" s="19"/>
      <c r="R115" s="19"/>
      <c r="S115" s="19"/>
      <c r="T115" s="19"/>
      <c r="U115" s="19"/>
      <c r="V115" s="19"/>
    </row>
    <row r="116" customFormat="false" ht="51.75" hidden="false" customHeight="true" outlineLevel="0" collapsed="false">
      <c r="A116" s="8" t="s">
        <v>885</v>
      </c>
      <c r="B116" s="9" t="s">
        <v>857</v>
      </c>
      <c r="C116" s="9" t="s">
        <v>886</v>
      </c>
      <c r="D116" s="9" t="s">
        <v>311</v>
      </c>
      <c r="E116" s="16" t="n">
        <v>0</v>
      </c>
      <c r="F116" s="16" t="n">
        <v>0</v>
      </c>
      <c r="G116" s="16" t="n">
        <v>1</v>
      </c>
      <c r="H116" s="11" t="s">
        <v>51</v>
      </c>
      <c r="I116" s="17" t="n">
        <f aca="false">IF(H116="L",E116,IF(H116="H",G116,F116))</f>
        <v>0</v>
      </c>
      <c r="J116" s="23" t="s">
        <v>108</v>
      </c>
      <c r="K116" s="9" t="s">
        <v>109</v>
      </c>
      <c r="L116" s="14" t="s">
        <v>887</v>
      </c>
      <c r="M116" s="14" t="s">
        <v>888</v>
      </c>
      <c r="N116" s="9" t="s">
        <v>889</v>
      </c>
      <c r="O116" s="15" t="s">
        <v>890</v>
      </c>
      <c r="P116" s="14" t="s">
        <v>891</v>
      </c>
      <c r="Q116" s="19"/>
      <c r="R116" s="19"/>
      <c r="S116" s="19"/>
      <c r="T116" s="19"/>
      <c r="U116" s="19"/>
      <c r="V116" s="19"/>
    </row>
    <row r="117" customFormat="false" ht="26.25" hidden="false" customHeight="true" outlineLevel="0" collapsed="false">
      <c r="A117" s="8" t="s">
        <v>892</v>
      </c>
      <c r="B117" s="9" t="s">
        <v>319</v>
      </c>
      <c r="C117" s="9" t="s">
        <v>893</v>
      </c>
      <c r="D117" s="9" t="s">
        <v>894</v>
      </c>
      <c r="E117" s="28" t="n">
        <v>1100</v>
      </c>
      <c r="F117" s="28" t="n">
        <v>2000</v>
      </c>
      <c r="G117" s="28" t="n">
        <v>3000</v>
      </c>
      <c r="H117" s="11" t="s">
        <v>51</v>
      </c>
      <c r="I117" s="29" t="n">
        <f aca="false">IF(H117="L",E117,IF(H117="H",G117,F117))</f>
        <v>2000</v>
      </c>
      <c r="J117" s="23" t="s">
        <v>108</v>
      </c>
      <c r="K117" s="9" t="s">
        <v>109</v>
      </c>
      <c r="L117" s="14" t="s">
        <v>895</v>
      </c>
      <c r="M117" s="18"/>
      <c r="N117" s="9" t="s">
        <v>896</v>
      </c>
      <c r="O117" s="15" t="s">
        <v>897</v>
      </c>
      <c r="P117" s="14" t="s">
        <v>898</v>
      </c>
      <c r="Q117" s="19"/>
      <c r="R117" s="19"/>
      <c r="S117" s="19"/>
      <c r="T117" s="19"/>
      <c r="U117" s="19"/>
      <c r="V117" s="19"/>
    </row>
    <row r="118" customFormat="false" ht="15" hidden="false" customHeight="true" outlineLevel="0" collapsed="false">
      <c r="A118" s="8" t="s">
        <v>899</v>
      </c>
      <c r="B118" s="9" t="s">
        <v>900</v>
      </c>
      <c r="C118" s="9" t="s">
        <v>901</v>
      </c>
      <c r="D118" s="9" t="s">
        <v>50</v>
      </c>
      <c r="E118" s="10" t="n">
        <v>0.25</v>
      </c>
      <c r="F118" s="10" t="n">
        <v>0.5</v>
      </c>
      <c r="G118" s="10" t="n">
        <v>1</v>
      </c>
      <c r="H118" s="11" t="s">
        <v>51</v>
      </c>
      <c r="I118" s="12" t="n">
        <f aca="false">IF(H118="L",E118,IF(H118="H",G118,F118))</f>
        <v>0.5</v>
      </c>
      <c r="J118" s="23" t="s">
        <v>108</v>
      </c>
      <c r="K118" s="9" t="s">
        <v>109</v>
      </c>
      <c r="L118" s="14" t="s">
        <v>902</v>
      </c>
      <c r="M118" s="18"/>
      <c r="N118" s="19"/>
      <c r="O118" s="19"/>
      <c r="P118" s="19"/>
      <c r="Q118" s="19"/>
      <c r="R118" s="19"/>
      <c r="S118" s="19"/>
      <c r="T118" s="19"/>
      <c r="U118" s="19"/>
      <c r="V118" s="19"/>
    </row>
    <row r="119" customFormat="false" ht="26.25" hidden="false" customHeight="true" outlineLevel="0" collapsed="false">
      <c r="A119" s="8" t="s">
        <v>903</v>
      </c>
      <c r="B119" s="9" t="s">
        <v>900</v>
      </c>
      <c r="C119" s="9" t="s">
        <v>904</v>
      </c>
      <c r="D119" s="9" t="s">
        <v>50</v>
      </c>
      <c r="E119" s="10" t="n">
        <v>0</v>
      </c>
      <c r="F119" s="10" t="n">
        <v>0</v>
      </c>
      <c r="G119" s="10" t="n">
        <v>0.5</v>
      </c>
      <c r="H119" s="11" t="s">
        <v>51</v>
      </c>
      <c r="I119" s="12" t="n">
        <f aca="false">IF(H119="L",E119,IF(H119="H",G119,F119))</f>
        <v>0</v>
      </c>
      <c r="J119" s="23" t="s">
        <v>108</v>
      </c>
      <c r="K119" s="9" t="s">
        <v>109</v>
      </c>
      <c r="L119" s="14" t="s">
        <v>905</v>
      </c>
      <c r="M119" s="18"/>
      <c r="N119" s="9" t="s">
        <v>837</v>
      </c>
      <c r="O119" s="15" t="s">
        <v>838</v>
      </c>
      <c r="P119" s="14" t="s">
        <v>839</v>
      </c>
      <c r="Q119" s="19"/>
      <c r="R119" s="19"/>
      <c r="S119" s="19"/>
      <c r="T119" s="19"/>
      <c r="U119" s="19"/>
      <c r="V119" s="19"/>
    </row>
    <row r="120" customFormat="false" ht="15" hidden="false" customHeight="true" outlineLevel="0" collapsed="false">
      <c r="A120" s="8" t="s">
        <v>906</v>
      </c>
      <c r="B120" s="9" t="s">
        <v>223</v>
      </c>
      <c r="C120" s="9" t="s">
        <v>907</v>
      </c>
      <c r="D120" s="9" t="s">
        <v>214</v>
      </c>
      <c r="E120" s="20" t="n">
        <v>1.5</v>
      </c>
      <c r="F120" s="20" t="n">
        <v>3</v>
      </c>
      <c r="G120" s="20" t="n">
        <v>6</v>
      </c>
      <c r="H120" s="11" t="s">
        <v>51</v>
      </c>
      <c r="I120" s="21" t="n">
        <f aca="false">IF(H120="L",E120,IF(H120="H",G120,F120))</f>
        <v>3</v>
      </c>
      <c r="J120" s="22" t="s">
        <v>81</v>
      </c>
      <c r="K120" s="9" t="s">
        <v>109</v>
      </c>
      <c r="L120" s="14" t="s">
        <v>908</v>
      </c>
      <c r="M120" s="18"/>
      <c r="N120" s="9" t="s">
        <v>301</v>
      </c>
      <c r="O120" s="15" t="s">
        <v>220</v>
      </c>
      <c r="P120" s="14" t="s">
        <v>909</v>
      </c>
      <c r="Q120" s="9" t="s">
        <v>306</v>
      </c>
      <c r="R120" s="15" t="s">
        <v>307</v>
      </c>
      <c r="S120" s="14" t="s">
        <v>910</v>
      </c>
      <c r="T120" s="19"/>
      <c r="U120" s="19"/>
      <c r="V120" s="19"/>
    </row>
    <row r="121" customFormat="false" ht="15" hidden="false" customHeight="true" outlineLevel="0" collapsed="false">
      <c r="A121" s="8" t="s">
        <v>911</v>
      </c>
      <c r="B121" s="9" t="s">
        <v>684</v>
      </c>
      <c r="C121" s="9" t="s">
        <v>912</v>
      </c>
      <c r="D121" s="9" t="s">
        <v>913</v>
      </c>
      <c r="E121" s="10" t="n">
        <v>0.08</v>
      </c>
      <c r="F121" s="10" t="n">
        <v>0.12</v>
      </c>
      <c r="G121" s="10" t="n">
        <v>0.15</v>
      </c>
      <c r="H121" s="11" t="s">
        <v>51</v>
      </c>
      <c r="I121" s="12" t="n">
        <f aca="false">IF(H121="L",E121,IF(H121="H",G121,F121))</f>
        <v>0.12</v>
      </c>
      <c r="J121" s="23" t="s">
        <v>108</v>
      </c>
      <c r="K121" s="9" t="s">
        <v>109</v>
      </c>
      <c r="L121" s="14" t="s">
        <v>914</v>
      </c>
      <c r="M121" s="18"/>
      <c r="N121" s="19"/>
      <c r="O121" s="19"/>
      <c r="P121" s="19"/>
      <c r="Q121" s="19"/>
      <c r="R121" s="19"/>
      <c r="S121" s="19"/>
      <c r="T121" s="19"/>
      <c r="U121" s="19"/>
      <c r="V121" s="19"/>
    </row>
    <row r="122" customFormat="false" ht="15" hidden="false" customHeight="true" outlineLevel="0" collapsed="false">
      <c r="A122" s="8" t="s">
        <v>915</v>
      </c>
      <c r="B122" s="9" t="s">
        <v>684</v>
      </c>
      <c r="C122" s="9" t="s">
        <v>916</v>
      </c>
      <c r="D122" s="9" t="s">
        <v>190</v>
      </c>
      <c r="E122" s="28" t="n">
        <v>5000</v>
      </c>
      <c r="F122" s="28" t="n">
        <v>10000</v>
      </c>
      <c r="G122" s="28" t="n">
        <v>20000</v>
      </c>
      <c r="H122" s="11" t="s">
        <v>51</v>
      </c>
      <c r="I122" s="29" t="n">
        <f aca="false">IF(H122="L",E122,IF(H122="H",G122,F122))</f>
        <v>10000</v>
      </c>
      <c r="J122" s="23" t="s">
        <v>108</v>
      </c>
      <c r="K122" s="9" t="s">
        <v>109</v>
      </c>
      <c r="L122" s="14" t="s">
        <v>917</v>
      </c>
      <c r="M122" s="18"/>
      <c r="N122" s="19"/>
      <c r="O122" s="19"/>
      <c r="P122" s="19"/>
      <c r="Q122" s="19"/>
      <c r="R122" s="19"/>
      <c r="S122" s="19"/>
      <c r="T122" s="19"/>
      <c r="U122" s="19"/>
      <c r="V122" s="19"/>
    </row>
    <row r="123" customFormat="false" ht="15" hidden="false" customHeight="true" outlineLevel="0" collapsed="false">
      <c r="A123" s="8" t="s">
        <v>918</v>
      </c>
      <c r="B123" s="9" t="s">
        <v>684</v>
      </c>
      <c r="C123" s="9" t="s">
        <v>919</v>
      </c>
      <c r="D123" s="9" t="s">
        <v>50</v>
      </c>
      <c r="E123" s="10" t="n">
        <v>0.5</v>
      </c>
      <c r="F123" s="10" t="n">
        <v>0.7</v>
      </c>
      <c r="G123" s="10" t="n">
        <v>0.9</v>
      </c>
      <c r="H123" s="11" t="s">
        <v>51</v>
      </c>
      <c r="I123" s="12" t="n">
        <f aca="false">IF(H123="L",E123,IF(H123="H",G123,F123))</f>
        <v>0.7</v>
      </c>
      <c r="J123" s="23" t="s">
        <v>108</v>
      </c>
      <c r="K123" s="9" t="s">
        <v>109</v>
      </c>
      <c r="L123" s="14" t="s">
        <v>920</v>
      </c>
      <c r="M123" s="18"/>
      <c r="N123" s="9" t="s">
        <v>301</v>
      </c>
      <c r="O123" s="15" t="s">
        <v>220</v>
      </c>
      <c r="P123" s="14" t="s">
        <v>909</v>
      </c>
      <c r="Q123" s="19"/>
      <c r="R123" s="19"/>
      <c r="S123" s="19"/>
      <c r="T123" s="19"/>
      <c r="U123" s="19"/>
      <c r="V123" s="19"/>
    </row>
    <row r="124" customFormat="false" ht="15" hidden="false" customHeight="true" outlineLevel="0" collapsed="false">
      <c r="A124" s="8" t="s">
        <v>921</v>
      </c>
      <c r="B124" s="9" t="s">
        <v>684</v>
      </c>
      <c r="C124" s="9" t="s">
        <v>922</v>
      </c>
      <c r="D124" s="9" t="s">
        <v>923</v>
      </c>
      <c r="E124" s="10" t="n">
        <v>0.4</v>
      </c>
      <c r="F124" s="10" t="n">
        <v>0.6</v>
      </c>
      <c r="G124" s="10" t="n">
        <v>0.8</v>
      </c>
      <c r="H124" s="11" t="s">
        <v>51</v>
      </c>
      <c r="I124" s="12" t="n">
        <f aca="false">IF(H124="L",E124,IF(H124="H",G124,F124))</f>
        <v>0.6</v>
      </c>
      <c r="J124" s="23" t="s">
        <v>108</v>
      </c>
      <c r="K124" s="9" t="s">
        <v>109</v>
      </c>
      <c r="L124" s="14" t="s">
        <v>924</v>
      </c>
      <c r="M124" s="18"/>
      <c r="N124" s="9" t="s">
        <v>925</v>
      </c>
      <c r="O124" s="15" t="s">
        <v>726</v>
      </c>
      <c r="P124" s="14" t="s">
        <v>926</v>
      </c>
      <c r="Q124" s="19"/>
      <c r="R124" s="19"/>
      <c r="S124" s="19"/>
      <c r="T124" s="19"/>
      <c r="U124" s="19"/>
      <c r="V124" s="19"/>
    </row>
    <row r="125" customFormat="false" ht="26.25" hidden="false" customHeight="true" outlineLevel="0" collapsed="false">
      <c r="A125" s="8" t="s">
        <v>927</v>
      </c>
      <c r="B125" s="9" t="s">
        <v>764</v>
      </c>
      <c r="C125" s="9" t="s">
        <v>928</v>
      </c>
      <c r="D125" s="9" t="s">
        <v>190</v>
      </c>
      <c r="E125" s="28" t="n">
        <v>10000</v>
      </c>
      <c r="F125" s="28" t="n">
        <v>25000</v>
      </c>
      <c r="G125" s="28" t="n">
        <v>50000</v>
      </c>
      <c r="H125" s="11" t="s">
        <v>51</v>
      </c>
      <c r="I125" s="29" t="n">
        <f aca="false">IF(H125="L",E125,IF(H125="H",G125,F125))</f>
        <v>25000</v>
      </c>
      <c r="J125" s="23" t="s">
        <v>108</v>
      </c>
      <c r="K125" s="9" t="s">
        <v>109</v>
      </c>
      <c r="L125" s="14" t="s">
        <v>929</v>
      </c>
      <c r="M125" s="18"/>
      <c r="N125" s="19"/>
      <c r="O125" s="19"/>
      <c r="P125" s="19"/>
      <c r="Q125" s="19"/>
      <c r="R125" s="19"/>
      <c r="S125" s="19"/>
      <c r="T125" s="19"/>
      <c r="U125" s="19"/>
      <c r="V125" s="19"/>
    </row>
    <row r="126" customFormat="false" ht="26.25" hidden="false" customHeight="true" outlineLevel="0" collapsed="false">
      <c r="A126" s="8" t="s">
        <v>930</v>
      </c>
      <c r="B126" s="9" t="s">
        <v>48</v>
      </c>
      <c r="C126" s="9" t="s">
        <v>931</v>
      </c>
      <c r="D126" s="9" t="s">
        <v>311</v>
      </c>
      <c r="E126" s="16" t="n">
        <v>0</v>
      </c>
      <c r="F126" s="16" t="n">
        <v>0</v>
      </c>
      <c r="G126" s="16" t="n">
        <v>1</v>
      </c>
      <c r="H126" s="11" t="s">
        <v>51</v>
      </c>
      <c r="I126" s="17" t="n">
        <f aca="false">IF(H126="L",E126,IF(H126="H",G126,F126))</f>
        <v>0</v>
      </c>
      <c r="J126" s="23" t="s">
        <v>108</v>
      </c>
      <c r="K126" s="9" t="s">
        <v>109</v>
      </c>
      <c r="L126" s="14" t="s">
        <v>932</v>
      </c>
      <c r="M126" s="18"/>
      <c r="N126" s="19"/>
      <c r="O126" s="19"/>
      <c r="P126" s="19"/>
      <c r="Q126" s="19"/>
      <c r="R126" s="19"/>
      <c r="S126" s="19"/>
      <c r="T126" s="19"/>
      <c r="U126" s="19"/>
      <c r="V126" s="19"/>
    </row>
    <row r="127" customFormat="false" ht="15" hidden="false" customHeight="true" outlineLevel="0" collapsed="false">
      <c r="A127" s="8" t="s">
        <v>933</v>
      </c>
      <c r="B127" s="9" t="s">
        <v>48</v>
      </c>
      <c r="C127" s="9" t="s">
        <v>934</v>
      </c>
      <c r="D127" s="9" t="s">
        <v>311</v>
      </c>
      <c r="E127" s="16" t="n">
        <v>1</v>
      </c>
      <c r="F127" s="16" t="n">
        <v>2</v>
      </c>
      <c r="G127" s="16" t="n">
        <v>3</v>
      </c>
      <c r="H127" s="11" t="s">
        <v>51</v>
      </c>
      <c r="I127" s="17" t="n">
        <f aca="false">IF(H127="L",E127,IF(H127="H",G127,F127))</f>
        <v>2</v>
      </c>
      <c r="J127" s="23" t="s">
        <v>108</v>
      </c>
      <c r="K127" s="9" t="s">
        <v>109</v>
      </c>
      <c r="L127" s="14" t="s">
        <v>935</v>
      </c>
      <c r="M127" s="18"/>
      <c r="N127" s="19"/>
      <c r="O127" s="19"/>
      <c r="P127" s="19"/>
      <c r="Q127" s="19"/>
      <c r="R127" s="19"/>
      <c r="S127" s="19"/>
      <c r="T127" s="19"/>
      <c r="U127" s="19"/>
      <c r="V127" s="19"/>
    </row>
    <row r="128" customFormat="false" ht="15" hidden="false" customHeight="true" outlineLevel="0" collapsed="false">
      <c r="A128" s="8" t="s">
        <v>936</v>
      </c>
      <c r="B128" s="9" t="s">
        <v>48</v>
      </c>
      <c r="C128" s="9" t="s">
        <v>937</v>
      </c>
      <c r="D128" s="9" t="s">
        <v>938</v>
      </c>
      <c r="E128" s="20" t="n">
        <v>1.1</v>
      </c>
      <c r="F128" s="20" t="n">
        <v>1.14</v>
      </c>
      <c r="G128" s="20" t="n">
        <v>1.18</v>
      </c>
      <c r="H128" s="11" t="s">
        <v>51</v>
      </c>
      <c r="I128" s="21" t="n">
        <f aca="false">IF(H128="L",E128,IF(H128="H",G128,F128))</f>
        <v>1.14</v>
      </c>
      <c r="J128" s="22" t="s">
        <v>81</v>
      </c>
      <c r="K128" s="9" t="s">
        <v>109</v>
      </c>
      <c r="L128" s="14" t="s">
        <v>939</v>
      </c>
      <c r="M128" s="18"/>
      <c r="N128" s="9" t="s">
        <v>940</v>
      </c>
      <c r="O128" s="15" t="s">
        <v>941</v>
      </c>
      <c r="P128" s="14" t="s">
        <v>942</v>
      </c>
      <c r="Q128" s="19"/>
      <c r="R128" s="19"/>
      <c r="S128" s="19"/>
      <c r="T128" s="19"/>
      <c r="U128" s="19"/>
      <c r="V128" s="19"/>
    </row>
    <row r="129" customFormat="false" ht="26.25" hidden="false" customHeight="true" outlineLevel="0" collapsed="false">
      <c r="A129" s="8" t="s">
        <v>943</v>
      </c>
      <c r="B129" s="9" t="s">
        <v>48</v>
      </c>
      <c r="C129" s="9" t="s">
        <v>944</v>
      </c>
      <c r="D129" s="9" t="s">
        <v>945</v>
      </c>
      <c r="E129" s="20" t="n">
        <v>90</v>
      </c>
      <c r="F129" s="20" t="n">
        <v>95.81</v>
      </c>
      <c r="G129" s="20" t="n">
        <v>100</v>
      </c>
      <c r="H129" s="11" t="s">
        <v>51</v>
      </c>
      <c r="I129" s="21" t="n">
        <f aca="false">IF(H129="L",E129,IF(H129="H",G129,F129))</f>
        <v>95.81</v>
      </c>
      <c r="J129" s="22" t="s">
        <v>81</v>
      </c>
      <c r="K129" s="9" t="s">
        <v>109</v>
      </c>
      <c r="L129" s="14" t="s">
        <v>946</v>
      </c>
      <c r="M129" s="18"/>
      <c r="N129" s="9" t="s">
        <v>440</v>
      </c>
      <c r="O129" s="15" t="s">
        <v>441</v>
      </c>
      <c r="P129" s="14" t="s">
        <v>782</v>
      </c>
      <c r="Q129" s="19"/>
      <c r="R129" s="19"/>
      <c r="S129" s="19"/>
      <c r="T129" s="19"/>
      <c r="U129" s="19"/>
      <c r="V129" s="19"/>
    </row>
    <row r="130" customFormat="false" ht="26.25" hidden="false" customHeight="true" outlineLevel="0" collapsed="false">
      <c r="A130" s="8" t="s">
        <v>947</v>
      </c>
      <c r="B130" s="9" t="s">
        <v>131</v>
      </c>
      <c r="C130" s="9" t="s">
        <v>948</v>
      </c>
      <c r="D130" s="9" t="s">
        <v>311</v>
      </c>
      <c r="E130" s="16" t="n">
        <v>1</v>
      </c>
      <c r="F130" s="16" t="n">
        <v>2</v>
      </c>
      <c r="G130" s="16" t="n">
        <v>2</v>
      </c>
      <c r="H130" s="11" t="s">
        <v>51</v>
      </c>
      <c r="I130" s="17" t="n">
        <f aca="false">IF(H130="L",E130,IF(H130="H",G130,F130))</f>
        <v>2</v>
      </c>
      <c r="J130" s="23" t="s">
        <v>108</v>
      </c>
      <c r="K130" s="9" t="s">
        <v>109</v>
      </c>
      <c r="L130" s="14" t="s">
        <v>949</v>
      </c>
      <c r="M130" s="18"/>
      <c r="N130" s="19"/>
      <c r="O130" s="19"/>
      <c r="P130" s="19"/>
      <c r="Q130" s="19"/>
      <c r="R130" s="19"/>
      <c r="S130" s="19"/>
      <c r="T130" s="19"/>
      <c r="U130" s="19"/>
      <c r="V130" s="19"/>
    </row>
    <row r="131" customFormat="false" ht="26.25" hidden="false" customHeight="true" outlineLevel="0" collapsed="false">
      <c r="A131" s="8" t="s">
        <v>950</v>
      </c>
      <c r="B131" s="9" t="s">
        <v>131</v>
      </c>
      <c r="C131" s="9" t="s">
        <v>951</v>
      </c>
      <c r="D131" s="9" t="s">
        <v>50</v>
      </c>
      <c r="E131" s="10" t="n">
        <v>0.1</v>
      </c>
      <c r="F131" s="10" t="n">
        <v>0.3</v>
      </c>
      <c r="G131" s="10" t="n">
        <v>0.6</v>
      </c>
      <c r="H131" s="11" t="s">
        <v>51</v>
      </c>
      <c r="I131" s="12" t="n">
        <f aca="false">IF(H131="L",E131,IF(H131="H",G131,F131))</f>
        <v>0.3</v>
      </c>
      <c r="J131" s="23" t="s">
        <v>108</v>
      </c>
      <c r="K131" s="9" t="s">
        <v>109</v>
      </c>
      <c r="L131" s="14" t="s">
        <v>952</v>
      </c>
      <c r="M131" s="18"/>
      <c r="N131" s="19"/>
      <c r="O131" s="19"/>
      <c r="P131" s="19"/>
      <c r="Q131" s="19"/>
      <c r="R131" s="19"/>
      <c r="S131" s="19"/>
      <c r="T131" s="19"/>
      <c r="U131" s="19"/>
      <c r="V131" s="19"/>
    </row>
    <row r="132" customFormat="false" ht="15" hidden="false" customHeight="true" outlineLevel="0" collapsed="false">
      <c r="A132" s="8" t="s">
        <v>953</v>
      </c>
      <c r="B132" s="9" t="s">
        <v>764</v>
      </c>
      <c r="C132" s="9" t="s">
        <v>954</v>
      </c>
      <c r="D132" s="9" t="s">
        <v>311</v>
      </c>
      <c r="E132" s="16" t="n">
        <v>1</v>
      </c>
      <c r="F132" s="16" t="n">
        <v>2</v>
      </c>
      <c r="G132" s="16" t="n">
        <v>2</v>
      </c>
      <c r="H132" s="11" t="s">
        <v>51</v>
      </c>
      <c r="I132" s="17" t="n">
        <f aca="false">IF(H132="L",E132,IF(H132="H",G132,F132))</f>
        <v>2</v>
      </c>
      <c r="J132" s="23" t="s">
        <v>108</v>
      </c>
      <c r="K132" s="9" t="s">
        <v>109</v>
      </c>
      <c r="L132" s="14" t="s">
        <v>955</v>
      </c>
      <c r="M132" s="18"/>
      <c r="N132" s="19"/>
      <c r="O132" s="19"/>
      <c r="P132" s="19"/>
      <c r="Q132" s="19"/>
      <c r="R132" s="19"/>
      <c r="S132" s="19"/>
      <c r="T132" s="19"/>
      <c r="U132" s="19"/>
      <c r="V132" s="19"/>
    </row>
    <row r="133" customFormat="false" ht="26.25" hidden="false" customHeight="true" outlineLevel="0" collapsed="false">
      <c r="A133" s="8" t="s">
        <v>956</v>
      </c>
      <c r="B133" s="9" t="s">
        <v>957</v>
      </c>
      <c r="C133" s="9" t="s">
        <v>958</v>
      </c>
      <c r="D133" s="9" t="s">
        <v>959</v>
      </c>
      <c r="E133" s="26" t="n">
        <v>11.99</v>
      </c>
      <c r="F133" s="26" t="n">
        <v>14.99</v>
      </c>
      <c r="G133" s="26" t="n">
        <v>19.99</v>
      </c>
      <c r="H133" s="11" t="s">
        <v>51</v>
      </c>
      <c r="I133" s="27" t="n">
        <f aca="false">IF(H133="L",E133,IF(H133="H",G133,F133))</f>
        <v>14.99</v>
      </c>
      <c r="J133" s="23" t="s">
        <v>108</v>
      </c>
      <c r="K133" s="9" t="s">
        <v>109</v>
      </c>
      <c r="L133" s="14" t="s">
        <v>960</v>
      </c>
      <c r="M133" s="18"/>
      <c r="N133" s="19"/>
      <c r="O133" s="19"/>
      <c r="P133" s="19"/>
      <c r="Q133" s="19"/>
      <c r="R133" s="19"/>
      <c r="S133" s="19"/>
      <c r="T133" s="19"/>
      <c r="U133" s="19"/>
      <c r="V133" s="19"/>
    </row>
    <row r="134" customFormat="false" ht="15" hidden="false" customHeight="true" outlineLevel="0" collapsed="false">
      <c r="A134" s="8" t="s">
        <v>961</v>
      </c>
      <c r="B134" s="9" t="s">
        <v>957</v>
      </c>
      <c r="C134" s="9" t="s">
        <v>962</v>
      </c>
      <c r="D134" s="9" t="s">
        <v>963</v>
      </c>
      <c r="E134" s="16" t="n">
        <v>227</v>
      </c>
      <c r="F134" s="16" t="n">
        <v>227</v>
      </c>
      <c r="G134" s="16" t="n">
        <v>227</v>
      </c>
      <c r="H134" s="11" t="s">
        <v>51</v>
      </c>
      <c r="I134" s="17" t="n">
        <f aca="false">IF(H134="L",E134,IF(H134="H",G134,F134))</f>
        <v>227</v>
      </c>
      <c r="J134" s="23" t="s">
        <v>108</v>
      </c>
      <c r="K134" s="9" t="s">
        <v>109</v>
      </c>
      <c r="L134" s="14" t="s">
        <v>964</v>
      </c>
      <c r="M134" s="18"/>
      <c r="N134" s="19"/>
      <c r="O134" s="19"/>
      <c r="P134" s="19"/>
      <c r="Q134" s="19"/>
      <c r="R134" s="19"/>
      <c r="S134" s="19"/>
      <c r="T134" s="19"/>
      <c r="U134" s="19"/>
      <c r="V134" s="19"/>
    </row>
    <row r="135" customFormat="false" ht="15" hidden="false" customHeight="true" outlineLevel="0" collapsed="false">
      <c r="A135" s="8" t="s">
        <v>965</v>
      </c>
      <c r="B135" s="9" t="s">
        <v>957</v>
      </c>
      <c r="C135" s="9" t="s">
        <v>966</v>
      </c>
      <c r="D135" s="9" t="s">
        <v>50</v>
      </c>
      <c r="E135" s="10" t="n">
        <v>0.5</v>
      </c>
      <c r="F135" s="10" t="n">
        <v>0.7</v>
      </c>
      <c r="G135" s="10" t="n">
        <v>0.9</v>
      </c>
      <c r="H135" s="11" t="s">
        <v>51</v>
      </c>
      <c r="I135" s="12" t="n">
        <f aca="false">IF(H135="L",E135,IF(H135="H",G135,F135))</f>
        <v>0.7</v>
      </c>
      <c r="J135" s="23" t="s">
        <v>108</v>
      </c>
      <c r="K135" s="9" t="s">
        <v>109</v>
      </c>
      <c r="L135" s="14" t="s">
        <v>967</v>
      </c>
      <c r="M135" s="18"/>
      <c r="N135" s="19"/>
      <c r="O135" s="19"/>
      <c r="P135" s="19"/>
      <c r="Q135" s="19"/>
      <c r="R135" s="19"/>
      <c r="S135" s="19"/>
      <c r="T135" s="19"/>
      <c r="U135" s="19"/>
      <c r="V135" s="19"/>
    </row>
    <row r="136" customFormat="false" ht="26.25" hidden="false" customHeight="true" outlineLevel="0" collapsed="false">
      <c r="A136" s="8" t="s">
        <v>968</v>
      </c>
      <c r="B136" s="9" t="s">
        <v>957</v>
      </c>
      <c r="C136" s="9" t="s">
        <v>969</v>
      </c>
      <c r="D136" s="9" t="s">
        <v>50</v>
      </c>
      <c r="E136" s="10" t="n">
        <v>0.03</v>
      </c>
      <c r="F136" s="10" t="n">
        <v>0.06</v>
      </c>
      <c r="G136" s="10" t="n">
        <v>0.1</v>
      </c>
      <c r="H136" s="11" t="s">
        <v>51</v>
      </c>
      <c r="I136" s="12" t="n">
        <f aca="false">IF(H136="L",E136,IF(H136="H",G136,F136))</f>
        <v>0.06</v>
      </c>
      <c r="J136" s="23" t="s">
        <v>108</v>
      </c>
      <c r="K136" s="9" t="s">
        <v>109</v>
      </c>
      <c r="L136" s="14" t="s">
        <v>970</v>
      </c>
      <c r="M136" s="18"/>
      <c r="N136" s="19"/>
      <c r="O136" s="19"/>
      <c r="P136" s="19"/>
      <c r="Q136" s="19"/>
      <c r="R136" s="19"/>
      <c r="S136" s="19"/>
      <c r="T136" s="19"/>
      <c r="U136" s="19"/>
      <c r="V136" s="19"/>
    </row>
    <row r="137" customFormat="false" ht="15" hidden="false" customHeight="true" outlineLevel="0" collapsed="false">
      <c r="A137" s="8" t="s">
        <v>971</v>
      </c>
      <c r="B137" s="9" t="s">
        <v>957</v>
      </c>
      <c r="C137" s="9" t="s">
        <v>972</v>
      </c>
      <c r="D137" s="9" t="s">
        <v>190</v>
      </c>
      <c r="E137" s="26" t="n">
        <v>0.15</v>
      </c>
      <c r="F137" s="26" t="n">
        <v>0.3</v>
      </c>
      <c r="G137" s="26" t="n">
        <v>0.6</v>
      </c>
      <c r="H137" s="11" t="s">
        <v>51</v>
      </c>
      <c r="I137" s="27" t="n">
        <f aca="false">IF(H137="L",E137,IF(H137="H",G137,F137))</f>
        <v>0.3</v>
      </c>
      <c r="J137" s="23" t="s">
        <v>108</v>
      </c>
      <c r="K137" s="9" t="s">
        <v>109</v>
      </c>
      <c r="L137" s="14" t="s">
        <v>973</v>
      </c>
      <c r="M137" s="18"/>
      <c r="N137" s="19"/>
      <c r="O137" s="19"/>
      <c r="P137" s="19"/>
      <c r="Q137" s="19"/>
      <c r="R137" s="19"/>
      <c r="S137" s="19"/>
      <c r="T137" s="19"/>
      <c r="U137" s="19"/>
      <c r="V137" s="19"/>
    </row>
    <row r="138" customFormat="false" ht="15" hidden="false" customHeight="true" outlineLevel="0" collapsed="false">
      <c r="A138" s="8" t="s">
        <v>974</v>
      </c>
      <c r="B138" s="9" t="s">
        <v>957</v>
      </c>
      <c r="C138" s="9" t="s">
        <v>975</v>
      </c>
      <c r="D138" s="9" t="s">
        <v>50</v>
      </c>
      <c r="E138" s="10" t="n">
        <v>0.5</v>
      </c>
      <c r="F138" s="10" t="n">
        <v>0.7</v>
      </c>
      <c r="G138" s="10" t="n">
        <v>0.9</v>
      </c>
      <c r="H138" s="11" t="s">
        <v>51</v>
      </c>
      <c r="I138" s="12" t="n">
        <f aca="false">IF(H138="L",E138,IF(H138="H",G138,F138))</f>
        <v>0.7</v>
      </c>
      <c r="J138" s="23" t="s">
        <v>108</v>
      </c>
      <c r="K138" s="9" t="s">
        <v>109</v>
      </c>
      <c r="L138" s="14" t="s">
        <v>976</v>
      </c>
      <c r="M138" s="18"/>
      <c r="N138" s="19"/>
      <c r="O138" s="19"/>
      <c r="P138" s="19"/>
      <c r="Q138" s="19"/>
      <c r="R138" s="19"/>
      <c r="S138" s="19"/>
      <c r="T138" s="19"/>
      <c r="U138" s="19"/>
      <c r="V138" s="19"/>
    </row>
    <row r="139" customFormat="false" ht="15" hidden="false" customHeight="true" outlineLevel="0" collapsed="false">
      <c r="A139" s="8" t="s">
        <v>977</v>
      </c>
      <c r="B139" s="9" t="s">
        <v>957</v>
      </c>
      <c r="C139" s="9" t="s">
        <v>978</v>
      </c>
      <c r="D139" s="9" t="s">
        <v>190</v>
      </c>
      <c r="E139" s="26" t="n">
        <v>0.4</v>
      </c>
      <c r="F139" s="26" t="n">
        <v>0.7</v>
      </c>
      <c r="G139" s="26" t="n">
        <v>1.2</v>
      </c>
      <c r="H139" s="11" t="s">
        <v>51</v>
      </c>
      <c r="I139" s="27" t="n">
        <f aca="false">IF(H139="L",E139,IF(H139="H",G139,F139))</f>
        <v>0.7</v>
      </c>
      <c r="J139" s="23" t="s">
        <v>108</v>
      </c>
      <c r="K139" s="9" t="s">
        <v>109</v>
      </c>
      <c r="L139" s="14" t="s">
        <v>979</v>
      </c>
      <c r="M139" s="18"/>
      <c r="N139" s="19"/>
      <c r="O139" s="19"/>
      <c r="P139" s="19"/>
      <c r="Q139" s="19"/>
      <c r="R139" s="19"/>
      <c r="S139" s="19"/>
      <c r="T139" s="19"/>
      <c r="U139" s="19"/>
      <c r="V139" s="19"/>
    </row>
    <row r="140" customFormat="false" ht="15" hidden="false" customHeight="true" outlineLevel="0" collapsed="false">
      <c r="A140" s="8" t="s">
        <v>980</v>
      </c>
      <c r="B140" s="9" t="s">
        <v>957</v>
      </c>
      <c r="C140" s="9" t="s">
        <v>981</v>
      </c>
      <c r="D140" s="9" t="s">
        <v>50</v>
      </c>
      <c r="E140" s="10" t="n">
        <v>0.4</v>
      </c>
      <c r="F140" s="10" t="n">
        <v>0.6</v>
      </c>
      <c r="G140" s="10" t="n">
        <v>0.9</v>
      </c>
      <c r="H140" s="11" t="s">
        <v>51</v>
      </c>
      <c r="I140" s="12" t="n">
        <f aca="false">IF(H140="L",E140,IF(H140="H",G140,F140))</f>
        <v>0.6</v>
      </c>
      <c r="J140" s="23" t="s">
        <v>108</v>
      </c>
      <c r="K140" s="9" t="s">
        <v>109</v>
      </c>
      <c r="L140" s="14" t="s">
        <v>982</v>
      </c>
      <c r="M140" s="18"/>
      <c r="N140" s="19"/>
      <c r="O140" s="19"/>
      <c r="P140" s="19"/>
      <c r="Q140" s="19"/>
      <c r="R140" s="19"/>
      <c r="S140" s="19"/>
      <c r="T140" s="19"/>
      <c r="U140" s="19"/>
      <c r="V140" s="19"/>
    </row>
    <row r="141" customFormat="false" ht="15" hidden="false" customHeight="true" outlineLevel="0" collapsed="false">
      <c r="A141" s="8" t="s">
        <v>983</v>
      </c>
      <c r="B141" s="9" t="s">
        <v>957</v>
      </c>
      <c r="C141" s="9" t="s">
        <v>984</v>
      </c>
      <c r="D141" s="9" t="s">
        <v>959</v>
      </c>
      <c r="E141" s="26" t="n">
        <v>0.3</v>
      </c>
      <c r="F141" s="26" t="n">
        <v>0.5</v>
      </c>
      <c r="G141" s="26" t="n">
        <v>0.8</v>
      </c>
      <c r="H141" s="11" t="s">
        <v>51</v>
      </c>
      <c r="I141" s="27" t="n">
        <f aca="false">IF(H141="L",E141,IF(H141="H",G141,F141))</f>
        <v>0.5</v>
      </c>
      <c r="J141" s="23" t="s">
        <v>108</v>
      </c>
      <c r="K141" s="9" t="s">
        <v>109</v>
      </c>
      <c r="L141" s="14" t="s">
        <v>985</v>
      </c>
      <c r="M141" s="18"/>
      <c r="N141" s="19"/>
      <c r="O141" s="19"/>
      <c r="P141" s="19"/>
      <c r="Q141" s="19"/>
      <c r="R141" s="19"/>
      <c r="S141" s="19"/>
      <c r="T141" s="19"/>
      <c r="U141" s="19"/>
      <c r="V141" s="19"/>
    </row>
    <row r="142" customFormat="false" ht="15" hidden="false" customHeight="true" outlineLevel="0" collapsed="false">
      <c r="A142" s="8" t="s">
        <v>986</v>
      </c>
      <c r="B142" s="9" t="s">
        <v>957</v>
      </c>
      <c r="C142" s="9" t="s">
        <v>987</v>
      </c>
      <c r="D142" s="9" t="s">
        <v>959</v>
      </c>
      <c r="E142" s="26" t="n">
        <v>0.03</v>
      </c>
      <c r="F142" s="26" t="n">
        <v>0.05</v>
      </c>
      <c r="G142" s="26" t="n">
        <v>0.1</v>
      </c>
      <c r="H142" s="11" t="s">
        <v>51</v>
      </c>
      <c r="I142" s="27" t="n">
        <f aca="false">IF(H142="L",E142,IF(H142="H",G142,F142))</f>
        <v>0.05</v>
      </c>
      <c r="J142" s="23" t="s">
        <v>108</v>
      </c>
      <c r="K142" s="9" t="s">
        <v>109</v>
      </c>
      <c r="L142" s="14" t="s">
        <v>988</v>
      </c>
      <c r="M142" s="18"/>
      <c r="N142" s="19"/>
      <c r="O142" s="19"/>
      <c r="P142" s="19"/>
      <c r="Q142" s="19"/>
      <c r="R142" s="19"/>
      <c r="S142" s="19"/>
      <c r="T142" s="19"/>
      <c r="U142" s="19"/>
      <c r="V142" s="19"/>
    </row>
    <row r="143" customFormat="false" ht="15" hidden="false" customHeight="true" outlineLevel="0" collapsed="false">
      <c r="A143" s="8" t="s">
        <v>989</v>
      </c>
      <c r="B143" s="9" t="s">
        <v>957</v>
      </c>
      <c r="C143" s="9" t="s">
        <v>990</v>
      </c>
      <c r="D143" s="9" t="s">
        <v>991</v>
      </c>
      <c r="E143" s="16" t="n">
        <v>30000</v>
      </c>
      <c r="F143" s="16" t="n">
        <v>40000</v>
      </c>
      <c r="G143" s="16" t="n">
        <v>50000</v>
      </c>
      <c r="H143" s="11" t="s">
        <v>51</v>
      </c>
      <c r="I143" s="17" t="n">
        <f aca="false">IF(H143="L",E143,IF(H143="H",G143,F143))</f>
        <v>40000</v>
      </c>
      <c r="J143" s="23" t="s">
        <v>108</v>
      </c>
      <c r="K143" s="9" t="s">
        <v>109</v>
      </c>
      <c r="L143" s="14" t="s">
        <v>992</v>
      </c>
      <c r="M143" s="18"/>
      <c r="N143" s="19"/>
      <c r="O143" s="19"/>
      <c r="P143" s="19"/>
      <c r="Q143" s="19"/>
      <c r="R143" s="19"/>
      <c r="S143" s="19"/>
      <c r="T143" s="19"/>
      <c r="U143" s="19"/>
      <c r="V143" s="19"/>
    </row>
    <row r="144" customFormat="false" ht="26.25" hidden="false" customHeight="true" outlineLevel="0" collapsed="false">
      <c r="A144" s="8" t="s">
        <v>993</v>
      </c>
      <c r="B144" s="9" t="s">
        <v>957</v>
      </c>
      <c r="C144" s="9" t="s">
        <v>994</v>
      </c>
      <c r="D144" s="9" t="s">
        <v>995</v>
      </c>
      <c r="E144" s="28" t="n">
        <v>3500</v>
      </c>
      <c r="F144" s="28" t="n">
        <v>5500</v>
      </c>
      <c r="G144" s="28" t="n">
        <v>9000</v>
      </c>
      <c r="H144" s="11" t="s">
        <v>51</v>
      </c>
      <c r="I144" s="29" t="n">
        <f aca="false">IF(H144="L",E144,IF(H144="H",G144,F144))</f>
        <v>5500</v>
      </c>
      <c r="J144" s="23" t="s">
        <v>108</v>
      </c>
      <c r="K144" s="9" t="s">
        <v>109</v>
      </c>
      <c r="L144" s="14" t="s">
        <v>996</v>
      </c>
      <c r="M144" s="18"/>
      <c r="N144" s="19"/>
      <c r="O144" s="19"/>
      <c r="P144" s="19"/>
      <c r="Q144" s="19"/>
      <c r="R144" s="19"/>
      <c r="S144" s="19"/>
      <c r="T144" s="19"/>
      <c r="U144" s="19"/>
      <c r="V144" s="19"/>
    </row>
    <row r="145" customFormat="false" ht="15" hidden="false" customHeight="true" outlineLevel="0" collapsed="false">
      <c r="A145" s="8" t="s">
        <v>997</v>
      </c>
      <c r="B145" s="9" t="s">
        <v>957</v>
      </c>
      <c r="C145" s="9" t="s">
        <v>998</v>
      </c>
      <c r="D145" s="9" t="s">
        <v>50</v>
      </c>
      <c r="E145" s="10" t="n">
        <v>0</v>
      </c>
      <c r="F145" s="10" t="n">
        <v>0</v>
      </c>
      <c r="G145" s="10" t="n">
        <v>0</v>
      </c>
      <c r="H145" s="11" t="s">
        <v>51</v>
      </c>
      <c r="I145" s="12" t="n">
        <f aca="false">IF(H145="L",E145,IF(H145="H",G145,F145))</f>
        <v>0</v>
      </c>
      <c r="J145" s="22" t="s">
        <v>81</v>
      </c>
      <c r="K145" s="9" t="s">
        <v>109</v>
      </c>
      <c r="L145" s="14" t="s">
        <v>999</v>
      </c>
      <c r="M145" s="18"/>
      <c r="N145" s="9" t="s">
        <v>1000</v>
      </c>
      <c r="O145" s="15" t="s">
        <v>1001</v>
      </c>
      <c r="P145" s="14" t="s">
        <v>1002</v>
      </c>
      <c r="Q145" s="19"/>
      <c r="R145" s="19"/>
      <c r="S145" s="19"/>
      <c r="T145" s="19"/>
      <c r="U145" s="19"/>
      <c r="V145" s="19"/>
    </row>
    <row r="146" customFormat="false" ht="39" hidden="false" customHeight="true" outlineLevel="0" collapsed="false">
      <c r="A146" s="8" t="s">
        <v>1003</v>
      </c>
      <c r="B146" s="9" t="s">
        <v>957</v>
      </c>
      <c r="C146" s="9" t="s">
        <v>1004</v>
      </c>
      <c r="D146" s="9" t="s">
        <v>50</v>
      </c>
      <c r="E146" s="10" t="n">
        <v>0</v>
      </c>
      <c r="F146" s="10" t="n">
        <v>0.1</v>
      </c>
      <c r="G146" s="10" t="n">
        <v>0.15</v>
      </c>
      <c r="H146" s="11" t="s">
        <v>51</v>
      </c>
      <c r="I146" s="12" t="n">
        <f aca="false">IF(H146="L",E146,IF(H146="H",G146,F146))</f>
        <v>0.1</v>
      </c>
      <c r="J146" s="23" t="s">
        <v>108</v>
      </c>
      <c r="K146" s="9" t="s">
        <v>109</v>
      </c>
      <c r="L146" s="14" t="s">
        <v>1005</v>
      </c>
      <c r="M146" s="18"/>
      <c r="N146" s="9" t="s">
        <v>1006</v>
      </c>
      <c r="O146" s="15" t="s">
        <v>1007</v>
      </c>
      <c r="P146" s="14" t="s">
        <v>1008</v>
      </c>
      <c r="Q146" s="9" t="s">
        <v>1009</v>
      </c>
      <c r="R146" s="15" t="s">
        <v>1010</v>
      </c>
      <c r="S146" s="14" t="s">
        <v>1011</v>
      </c>
      <c r="T146" s="19"/>
      <c r="U146" s="19"/>
      <c r="V146" s="19"/>
    </row>
    <row r="147" customFormat="false" ht="26.25" hidden="false" customHeight="true" outlineLevel="0" collapsed="false">
      <c r="A147" s="8" t="s">
        <v>1012</v>
      </c>
      <c r="B147" s="9" t="s">
        <v>957</v>
      </c>
      <c r="C147" s="9" t="s">
        <v>1013</v>
      </c>
      <c r="D147" s="9" t="s">
        <v>959</v>
      </c>
      <c r="E147" s="26" t="n">
        <v>0.05</v>
      </c>
      <c r="F147" s="26" t="n">
        <v>0.1</v>
      </c>
      <c r="G147" s="26" t="n">
        <v>0.2</v>
      </c>
      <c r="H147" s="11" t="s">
        <v>51</v>
      </c>
      <c r="I147" s="27" t="n">
        <f aca="false">IF(H147="L",E147,IF(H147="H",G147,F147))</f>
        <v>0.1</v>
      </c>
      <c r="J147" s="23" t="s">
        <v>108</v>
      </c>
      <c r="K147" s="9" t="s">
        <v>109</v>
      </c>
      <c r="L147" s="14" t="s">
        <v>1014</v>
      </c>
      <c r="M147" s="18"/>
      <c r="N147" s="19"/>
      <c r="O147" s="19"/>
      <c r="P147" s="19"/>
      <c r="Q147" s="19"/>
      <c r="R147" s="19"/>
      <c r="S147" s="19"/>
      <c r="T147" s="19"/>
      <c r="U147" s="19"/>
      <c r="V147" s="19"/>
    </row>
    <row r="148" customFormat="false" ht="15" hidden="false" customHeight="true" outlineLevel="0" collapsed="false">
      <c r="A148" s="8" t="s">
        <v>1015</v>
      </c>
      <c r="B148" s="9" t="s">
        <v>957</v>
      </c>
      <c r="C148" s="9" t="s">
        <v>1016</v>
      </c>
      <c r="D148" s="9" t="s">
        <v>1017</v>
      </c>
      <c r="E148" s="26" t="n">
        <v>0.38</v>
      </c>
      <c r="F148" s="26" t="n">
        <v>0.48</v>
      </c>
      <c r="G148" s="26" t="n">
        <v>0.57</v>
      </c>
      <c r="H148" s="11" t="s">
        <v>51</v>
      </c>
      <c r="I148" s="27" t="n">
        <f aca="false">IF(H148="L",E148,IF(H148="H",G148,F148))</f>
        <v>0.48</v>
      </c>
      <c r="J148" s="22" t="s">
        <v>81</v>
      </c>
      <c r="K148" s="9" t="s">
        <v>109</v>
      </c>
      <c r="L148" s="14" t="s">
        <v>1018</v>
      </c>
      <c r="M148" s="18"/>
      <c r="N148" s="9" t="s">
        <v>1019</v>
      </c>
      <c r="O148" s="15" t="s">
        <v>1020</v>
      </c>
      <c r="P148" s="14" t="s">
        <v>1021</v>
      </c>
      <c r="Q148" s="19"/>
      <c r="R148" s="19"/>
      <c r="S148" s="19"/>
      <c r="T148" s="19"/>
      <c r="U148" s="19"/>
      <c r="V148" s="19"/>
    </row>
    <row r="149" customFormat="false" ht="15" hidden="false" customHeight="true" outlineLevel="0" collapsed="false">
      <c r="A149" s="8" t="s">
        <v>1022</v>
      </c>
      <c r="B149" s="9" t="s">
        <v>957</v>
      </c>
      <c r="C149" s="9" t="s">
        <v>1023</v>
      </c>
      <c r="D149" s="9" t="s">
        <v>1024</v>
      </c>
      <c r="E149" s="16" t="n">
        <v>1</v>
      </c>
      <c r="F149" s="16" t="n">
        <v>2</v>
      </c>
      <c r="G149" s="16" t="n">
        <v>4</v>
      </c>
      <c r="H149" s="11" t="s">
        <v>51</v>
      </c>
      <c r="I149" s="17" t="n">
        <f aca="false">IF(H149="L",E149,IF(H149="H",G149,F149))</f>
        <v>2</v>
      </c>
      <c r="J149" s="23" t="s">
        <v>108</v>
      </c>
      <c r="K149" s="9" t="s">
        <v>109</v>
      </c>
      <c r="L149" s="14" t="s">
        <v>1025</v>
      </c>
      <c r="M149" s="18"/>
      <c r="N149" s="19"/>
      <c r="O149" s="19"/>
      <c r="P149" s="19"/>
      <c r="Q149" s="19"/>
      <c r="R149" s="19"/>
      <c r="S149" s="19"/>
      <c r="T149" s="19"/>
      <c r="U149" s="19"/>
      <c r="V149" s="19"/>
    </row>
    <row r="150" customFormat="false" ht="15" hidden="false" customHeight="true" outlineLevel="0" collapsed="false">
      <c r="A150" s="8" t="s">
        <v>1026</v>
      </c>
      <c r="B150" s="9" t="s">
        <v>957</v>
      </c>
      <c r="C150" s="9" t="s">
        <v>1027</v>
      </c>
      <c r="D150" s="9" t="s">
        <v>1028</v>
      </c>
      <c r="E150" s="24" t="n">
        <v>0.02</v>
      </c>
      <c r="F150" s="24" t="n">
        <v>0.025</v>
      </c>
      <c r="G150" s="24" t="n">
        <v>0.035</v>
      </c>
      <c r="H150" s="11" t="s">
        <v>51</v>
      </c>
      <c r="I150" s="25" t="n">
        <f aca="false">IF(H150="L",E150,IF(H150="H",G150,F150))</f>
        <v>0.025</v>
      </c>
      <c r="J150" s="23" t="s">
        <v>108</v>
      </c>
      <c r="K150" s="9" t="s">
        <v>109</v>
      </c>
      <c r="L150" s="14" t="s">
        <v>1029</v>
      </c>
      <c r="M150" s="18"/>
      <c r="N150" s="19"/>
      <c r="O150" s="19"/>
      <c r="P150" s="19"/>
      <c r="Q150" s="19"/>
      <c r="R150" s="19"/>
      <c r="S150" s="19"/>
      <c r="T150" s="19"/>
      <c r="U150" s="19"/>
      <c r="V150" s="19"/>
    </row>
    <row r="151" customFormat="false" ht="15" hidden="false" customHeight="true" outlineLevel="0" collapsed="false">
      <c r="A151" s="8" t="s">
        <v>1030</v>
      </c>
      <c r="B151" s="9" t="s">
        <v>957</v>
      </c>
      <c r="C151" s="9" t="s">
        <v>1031</v>
      </c>
      <c r="D151" s="9" t="s">
        <v>991</v>
      </c>
      <c r="E151" s="16" t="n">
        <v>12</v>
      </c>
      <c r="F151" s="16" t="n">
        <v>24</v>
      </c>
      <c r="G151" s="16" t="n">
        <v>36</v>
      </c>
      <c r="H151" s="11" t="s">
        <v>51</v>
      </c>
      <c r="I151" s="17" t="n">
        <f aca="false">IF(H151="L",E151,IF(H151="H",G151,F151))</f>
        <v>24</v>
      </c>
      <c r="J151" s="23" t="s">
        <v>108</v>
      </c>
      <c r="K151" s="9" t="s">
        <v>109</v>
      </c>
      <c r="L151" s="14" t="s">
        <v>1032</v>
      </c>
      <c r="M151" s="18"/>
      <c r="N151" s="19"/>
      <c r="O151" s="19"/>
      <c r="P151" s="19"/>
      <c r="Q151" s="19"/>
      <c r="R151" s="19"/>
      <c r="S151" s="19"/>
      <c r="T151" s="19"/>
      <c r="U151" s="19"/>
      <c r="V151" s="19"/>
    </row>
    <row r="152" customFormat="false" ht="15" hidden="false" customHeight="true" outlineLevel="0" collapsed="false">
      <c r="A152" s="8" t="s">
        <v>1033</v>
      </c>
      <c r="B152" s="9" t="s">
        <v>957</v>
      </c>
      <c r="C152" s="9" t="s">
        <v>1034</v>
      </c>
      <c r="D152" s="9" t="s">
        <v>1035</v>
      </c>
      <c r="E152" s="26" t="n">
        <v>2.8</v>
      </c>
      <c r="F152" s="26" t="n">
        <v>2.8</v>
      </c>
      <c r="G152" s="26" t="n">
        <v>2.8</v>
      </c>
      <c r="H152" s="11" t="s">
        <v>51</v>
      </c>
      <c r="I152" s="27" t="n">
        <f aca="false">IF(H152="L",E152,IF(H152="H",G152,F152))</f>
        <v>2.8</v>
      </c>
      <c r="J152" s="22" t="s">
        <v>81</v>
      </c>
      <c r="K152" s="9" t="s">
        <v>109</v>
      </c>
      <c r="L152" s="14" t="s">
        <v>1036</v>
      </c>
      <c r="M152" s="18"/>
      <c r="N152" s="9" t="s">
        <v>1019</v>
      </c>
      <c r="O152" s="15" t="s">
        <v>1020</v>
      </c>
      <c r="P152" s="14" t="s">
        <v>1037</v>
      </c>
      <c r="Q152" s="19"/>
      <c r="R152" s="19"/>
      <c r="S152" s="19"/>
      <c r="T152" s="19"/>
      <c r="U152" s="19"/>
      <c r="V152" s="19"/>
    </row>
    <row r="153" customFormat="false" ht="26.25" hidden="false" customHeight="true" outlineLevel="0" collapsed="false">
      <c r="A153" s="8" t="s">
        <v>1038</v>
      </c>
      <c r="B153" s="9" t="s">
        <v>957</v>
      </c>
      <c r="C153" s="9" t="s">
        <v>1039</v>
      </c>
      <c r="D153" s="9" t="s">
        <v>1040</v>
      </c>
      <c r="E153" s="26" t="n">
        <v>1.26</v>
      </c>
      <c r="F153" s="26" t="n">
        <v>1.4</v>
      </c>
      <c r="G153" s="26" t="n">
        <v>1.4</v>
      </c>
      <c r="H153" s="11" t="s">
        <v>51</v>
      </c>
      <c r="I153" s="27" t="n">
        <f aca="false">IF(H153="L",E153,IF(H153="H",G153,F153))</f>
        <v>1.4</v>
      </c>
      <c r="J153" s="22" t="s">
        <v>81</v>
      </c>
      <c r="K153" s="9" t="s">
        <v>109</v>
      </c>
      <c r="L153" s="14" t="s">
        <v>1041</v>
      </c>
      <c r="M153" s="18"/>
      <c r="N153" s="9" t="s">
        <v>1019</v>
      </c>
      <c r="O153" s="15" t="s">
        <v>1020</v>
      </c>
      <c r="P153" s="14" t="s">
        <v>1042</v>
      </c>
      <c r="Q153" s="19"/>
      <c r="R153" s="19"/>
      <c r="S153" s="19"/>
      <c r="T153" s="19"/>
      <c r="U153" s="19"/>
      <c r="V153" s="19"/>
    </row>
    <row r="154" customFormat="false" ht="39" hidden="false" customHeight="true" outlineLevel="0" collapsed="false">
      <c r="A154" s="8" t="s">
        <v>1043</v>
      </c>
      <c r="B154" s="9" t="s">
        <v>957</v>
      </c>
      <c r="C154" s="9" t="s">
        <v>1044</v>
      </c>
      <c r="D154" s="9" t="s">
        <v>190</v>
      </c>
      <c r="E154" s="26" t="n">
        <v>4.5</v>
      </c>
      <c r="F154" s="26" t="n">
        <v>5.2</v>
      </c>
      <c r="G154" s="26" t="n">
        <v>6</v>
      </c>
      <c r="H154" s="11" t="s">
        <v>51</v>
      </c>
      <c r="I154" s="27" t="n">
        <f aca="false">IF(H154="L",E154,IF(H154="H",G154,F154))</f>
        <v>5.2</v>
      </c>
      <c r="J154" s="23" t="s">
        <v>108</v>
      </c>
      <c r="K154" s="9" t="s">
        <v>109</v>
      </c>
      <c r="L154" s="14" t="s">
        <v>1045</v>
      </c>
      <c r="M154" s="18"/>
      <c r="N154" s="9" t="s">
        <v>1046</v>
      </c>
      <c r="O154" s="15" t="s">
        <v>1047</v>
      </c>
      <c r="P154" s="14" t="s">
        <v>1048</v>
      </c>
      <c r="Q154" s="19"/>
      <c r="R154" s="19"/>
      <c r="S154" s="19"/>
      <c r="T154" s="19"/>
      <c r="U154" s="19"/>
      <c r="V154" s="19"/>
    </row>
    <row r="155" customFormat="false" ht="15" hidden="false" customHeight="true" outlineLevel="0" collapsed="false">
      <c r="A155" s="8" t="s">
        <v>1049</v>
      </c>
      <c r="B155" s="9" t="s">
        <v>957</v>
      </c>
      <c r="C155" s="9" t="s">
        <v>1050</v>
      </c>
      <c r="D155" s="9" t="s">
        <v>1017</v>
      </c>
      <c r="E155" s="26" t="n">
        <v>0.56</v>
      </c>
      <c r="F155" s="26" t="n">
        <v>0.78</v>
      </c>
      <c r="G155" s="26" t="n">
        <v>2.4</v>
      </c>
      <c r="H155" s="11" t="s">
        <v>51</v>
      </c>
      <c r="I155" s="27" t="n">
        <f aca="false">IF(H155="L",E155,IF(H155="H",G155,F155))</f>
        <v>0.78</v>
      </c>
      <c r="J155" s="23" t="s">
        <v>108</v>
      </c>
      <c r="K155" s="9" t="s">
        <v>109</v>
      </c>
      <c r="L155" s="14" t="s">
        <v>1051</v>
      </c>
      <c r="M155" s="18"/>
      <c r="N155" s="19"/>
      <c r="O155" s="19"/>
      <c r="P155" s="19"/>
      <c r="Q155" s="19"/>
      <c r="R155" s="19"/>
      <c r="S155" s="19"/>
      <c r="T155" s="19"/>
      <c r="U155" s="19"/>
      <c r="V155" s="19"/>
    </row>
    <row r="156" customFormat="false" ht="26.25" hidden="false" customHeight="true" outlineLevel="0" collapsed="false">
      <c r="A156" s="8" t="s">
        <v>1052</v>
      </c>
      <c r="B156" s="9" t="s">
        <v>957</v>
      </c>
      <c r="C156" s="9" t="s">
        <v>1053</v>
      </c>
      <c r="D156" s="9" t="s">
        <v>50</v>
      </c>
      <c r="E156" s="10" t="n">
        <v>0.15</v>
      </c>
      <c r="F156" s="10" t="n">
        <v>0.15</v>
      </c>
      <c r="G156" s="10" t="n">
        <v>0.15</v>
      </c>
      <c r="H156" s="11" t="s">
        <v>51</v>
      </c>
      <c r="I156" s="12" t="n">
        <f aca="false">IF(H156="L",E156,IF(H156="H",G156,F156))</f>
        <v>0.15</v>
      </c>
      <c r="J156" s="22" t="s">
        <v>81</v>
      </c>
      <c r="K156" s="9" t="s">
        <v>109</v>
      </c>
      <c r="L156" s="14" t="s">
        <v>1054</v>
      </c>
      <c r="M156" s="18"/>
      <c r="N156" s="9" t="s">
        <v>1055</v>
      </c>
      <c r="O156" s="15" t="s">
        <v>1056</v>
      </c>
      <c r="P156" s="14" t="s">
        <v>1057</v>
      </c>
      <c r="Q156" s="19"/>
      <c r="R156" s="19"/>
      <c r="S156" s="19"/>
      <c r="T156" s="19"/>
      <c r="U156" s="19"/>
      <c r="V156" s="19"/>
    </row>
    <row r="157" customFormat="false" ht="15" hidden="false" customHeight="true" outlineLevel="0" collapsed="false">
      <c r="A157" s="8" t="s">
        <v>1058</v>
      </c>
      <c r="B157" s="9" t="s">
        <v>957</v>
      </c>
      <c r="C157" s="9" t="s">
        <v>1059</v>
      </c>
      <c r="D157" s="9" t="s">
        <v>1060</v>
      </c>
      <c r="E157" s="10" t="n">
        <v>0.05</v>
      </c>
      <c r="F157" s="10" t="n">
        <v>0.12</v>
      </c>
      <c r="G157" s="10" t="n">
        <v>0.2</v>
      </c>
      <c r="H157" s="11" t="s">
        <v>51</v>
      </c>
      <c r="I157" s="12" t="n">
        <f aca="false">IF(H157="L",E157,IF(H157="H",G157,F157))</f>
        <v>0.12</v>
      </c>
      <c r="J157" s="23" t="s">
        <v>108</v>
      </c>
      <c r="K157" s="9" t="s">
        <v>109</v>
      </c>
      <c r="L157" s="14" t="s">
        <v>1061</v>
      </c>
      <c r="M157" s="18"/>
      <c r="N157" s="19"/>
      <c r="O157" s="19"/>
      <c r="P157" s="19"/>
      <c r="Q157" s="19"/>
      <c r="R157" s="19"/>
      <c r="S157" s="19"/>
      <c r="T157" s="19"/>
      <c r="U157" s="19"/>
      <c r="V157" s="19"/>
    </row>
    <row r="158" customFormat="false" ht="15" hidden="false" customHeight="true" outlineLevel="0" collapsed="false">
      <c r="A158" s="8" t="s">
        <v>1062</v>
      </c>
      <c r="B158" s="9" t="s">
        <v>957</v>
      </c>
      <c r="C158" s="9" t="s">
        <v>1063</v>
      </c>
      <c r="D158" s="9" t="s">
        <v>1060</v>
      </c>
      <c r="E158" s="10" t="n">
        <v>0.01</v>
      </c>
      <c r="F158" s="10" t="n">
        <v>0.03</v>
      </c>
      <c r="G158" s="10" t="n">
        <v>0.05</v>
      </c>
      <c r="H158" s="11" t="s">
        <v>51</v>
      </c>
      <c r="I158" s="12" t="n">
        <f aca="false">IF(H158="L",E158,IF(H158="H",G158,F158))</f>
        <v>0.03</v>
      </c>
      <c r="J158" s="23" t="s">
        <v>108</v>
      </c>
      <c r="K158" s="9" t="s">
        <v>109</v>
      </c>
      <c r="L158" s="14" t="s">
        <v>1064</v>
      </c>
      <c r="M158" s="18"/>
      <c r="N158" s="19"/>
      <c r="O158" s="19"/>
      <c r="P158" s="19"/>
      <c r="Q158" s="19"/>
      <c r="R158" s="19"/>
      <c r="S158" s="19"/>
      <c r="T158" s="19"/>
      <c r="U158" s="19"/>
      <c r="V158" s="19"/>
    </row>
    <row r="159" customFormat="false" ht="15" hidden="false" customHeight="true" outlineLevel="0" collapsed="false">
      <c r="A159" s="8" t="s">
        <v>1065</v>
      </c>
      <c r="B159" s="9" t="s">
        <v>957</v>
      </c>
      <c r="C159" s="9" t="s">
        <v>1066</v>
      </c>
      <c r="D159" s="9" t="s">
        <v>959</v>
      </c>
      <c r="E159" s="28" t="n">
        <v>4</v>
      </c>
      <c r="F159" s="28" t="n">
        <v>6</v>
      </c>
      <c r="G159" s="28" t="n">
        <v>8</v>
      </c>
      <c r="H159" s="11" t="s">
        <v>51</v>
      </c>
      <c r="I159" s="29" t="n">
        <f aca="false">IF(H159="L",E159,IF(H159="H",G159,F159))</f>
        <v>6</v>
      </c>
      <c r="J159" s="23" t="s">
        <v>108</v>
      </c>
      <c r="K159" s="9" t="s">
        <v>109</v>
      </c>
      <c r="L159" s="14" t="s">
        <v>1067</v>
      </c>
      <c r="M159" s="18"/>
      <c r="N159" s="19"/>
      <c r="O159" s="19"/>
      <c r="P159" s="19"/>
      <c r="Q159" s="19"/>
      <c r="R159" s="19"/>
      <c r="S159" s="19"/>
      <c r="T159" s="19"/>
      <c r="U159" s="19"/>
      <c r="V159" s="19"/>
    </row>
    <row r="160" customFormat="false" ht="15" hidden="false" customHeight="true" outlineLevel="0" collapsed="false">
      <c r="A160" s="8" t="s">
        <v>1068</v>
      </c>
      <c r="B160" s="9" t="s">
        <v>957</v>
      </c>
      <c r="C160" s="9" t="s">
        <v>1069</v>
      </c>
      <c r="D160" s="9" t="s">
        <v>1060</v>
      </c>
      <c r="E160" s="10" t="n">
        <v>0.25</v>
      </c>
      <c r="F160" s="10" t="n">
        <v>0.35</v>
      </c>
      <c r="G160" s="10" t="n">
        <v>0.45</v>
      </c>
      <c r="H160" s="11" t="s">
        <v>51</v>
      </c>
      <c r="I160" s="12" t="n">
        <f aca="false">IF(H160="L",E160,IF(H160="H",G160,F160))</f>
        <v>0.35</v>
      </c>
      <c r="J160" s="23" t="s">
        <v>108</v>
      </c>
      <c r="K160" s="9" t="s">
        <v>109</v>
      </c>
      <c r="L160" s="14" t="s">
        <v>1070</v>
      </c>
      <c r="M160" s="18"/>
      <c r="N160" s="19"/>
      <c r="O160" s="19"/>
      <c r="P160" s="19"/>
      <c r="Q160" s="19"/>
      <c r="R160" s="19"/>
      <c r="S160" s="19"/>
      <c r="T160" s="19"/>
      <c r="U160" s="19"/>
      <c r="V160" s="19"/>
    </row>
    <row r="161" customFormat="false" ht="39" hidden="false" customHeight="true" outlineLevel="0" collapsed="false">
      <c r="A161" s="8" t="s">
        <v>1071</v>
      </c>
      <c r="B161" s="9" t="s">
        <v>957</v>
      </c>
      <c r="C161" s="9" t="s">
        <v>1072</v>
      </c>
      <c r="D161" s="9" t="s">
        <v>1060</v>
      </c>
      <c r="E161" s="10" t="n">
        <v>0.18</v>
      </c>
      <c r="F161" s="10" t="n">
        <v>0.2</v>
      </c>
      <c r="G161" s="10" t="n">
        <v>0.22</v>
      </c>
      <c r="H161" s="11" t="s">
        <v>51</v>
      </c>
      <c r="I161" s="12" t="n">
        <f aca="false">IF(H161="L",E161,IF(H161="H",G161,F161))</f>
        <v>0.2</v>
      </c>
      <c r="J161" s="23" t="s">
        <v>108</v>
      </c>
      <c r="K161" s="9" t="s">
        <v>109</v>
      </c>
      <c r="L161" s="14" t="s">
        <v>1073</v>
      </c>
      <c r="M161" s="18"/>
      <c r="N161" s="19"/>
      <c r="O161" s="19"/>
      <c r="P161" s="19"/>
      <c r="Q161" s="19"/>
      <c r="R161" s="19"/>
      <c r="S161" s="19"/>
      <c r="T161" s="19"/>
      <c r="U161" s="19"/>
      <c r="V161" s="19"/>
    </row>
    <row r="162" customFormat="false" ht="15" hidden="false" customHeight="true" outlineLevel="0" collapsed="false">
      <c r="A162" s="8" t="s">
        <v>1074</v>
      </c>
      <c r="B162" s="9" t="s">
        <v>957</v>
      </c>
      <c r="C162" s="9" t="s">
        <v>1075</v>
      </c>
      <c r="D162" s="9" t="s">
        <v>959</v>
      </c>
      <c r="E162" s="26" t="n">
        <v>0.1</v>
      </c>
      <c r="F162" s="26" t="n">
        <v>0.2</v>
      </c>
      <c r="G162" s="26" t="n">
        <v>0.4</v>
      </c>
      <c r="H162" s="11" t="s">
        <v>51</v>
      </c>
      <c r="I162" s="27" t="n">
        <f aca="false">IF(H162="L",E162,IF(H162="H",G162,F162))</f>
        <v>0.2</v>
      </c>
      <c r="J162" s="23" t="s">
        <v>108</v>
      </c>
      <c r="K162" s="9" t="s">
        <v>109</v>
      </c>
      <c r="L162" s="14" t="s">
        <v>1076</v>
      </c>
      <c r="M162" s="18"/>
      <c r="N162" s="19"/>
      <c r="O162" s="19"/>
      <c r="P162" s="19"/>
      <c r="Q162" s="19"/>
      <c r="R162" s="19"/>
      <c r="S162" s="19"/>
      <c r="T162" s="19"/>
      <c r="U162" s="19"/>
      <c r="V162" s="19"/>
    </row>
    <row r="163" customFormat="false" ht="15" hidden="false" customHeight="true" outlineLevel="0" collapsed="false">
      <c r="A163" s="8" t="s">
        <v>1077</v>
      </c>
      <c r="B163" s="9" t="s">
        <v>957</v>
      </c>
      <c r="C163" s="9" t="s">
        <v>1078</v>
      </c>
      <c r="D163" s="9" t="s">
        <v>1079</v>
      </c>
      <c r="E163" s="26" t="n">
        <v>39.99</v>
      </c>
      <c r="F163" s="26" t="n">
        <v>39.99</v>
      </c>
      <c r="G163" s="26" t="n">
        <v>39.99</v>
      </c>
      <c r="H163" s="11" t="s">
        <v>51</v>
      </c>
      <c r="I163" s="27" t="n">
        <f aca="false">IF(H163="L",E163,IF(H163="H",G163,F163))</f>
        <v>39.99</v>
      </c>
      <c r="J163" s="22" t="s">
        <v>81</v>
      </c>
      <c r="K163" s="9" t="s">
        <v>109</v>
      </c>
      <c r="L163" s="14" t="s">
        <v>1036</v>
      </c>
      <c r="M163" s="18"/>
      <c r="N163" s="9" t="s">
        <v>1055</v>
      </c>
      <c r="O163" s="15" t="s">
        <v>1056</v>
      </c>
      <c r="P163" s="14" t="s">
        <v>1080</v>
      </c>
      <c r="Q163" s="19"/>
      <c r="R163" s="19"/>
      <c r="S163" s="19"/>
      <c r="T163" s="19"/>
      <c r="U163" s="19"/>
      <c r="V163" s="19"/>
    </row>
    <row r="164" customFormat="false" ht="26.25" hidden="false" customHeight="true" outlineLevel="0" collapsed="false">
      <c r="A164" s="8" t="s">
        <v>1081</v>
      </c>
      <c r="B164" s="9" t="s">
        <v>131</v>
      </c>
      <c r="C164" s="9" t="s">
        <v>1082</v>
      </c>
      <c r="D164" s="9" t="s">
        <v>50</v>
      </c>
      <c r="E164" s="10" t="n">
        <v>0.3</v>
      </c>
      <c r="F164" s="10" t="n">
        <v>0.37</v>
      </c>
      <c r="G164" s="10" t="n">
        <v>0.42</v>
      </c>
      <c r="H164" s="11" t="s">
        <v>51</v>
      </c>
      <c r="I164" s="12" t="n">
        <f aca="false">IF(H164="L",E164,IF(H164="H",G164,F164))</f>
        <v>0.37</v>
      </c>
      <c r="J164" s="13" t="s">
        <v>52</v>
      </c>
      <c r="K164" s="9" t="s">
        <v>109</v>
      </c>
      <c r="L164" s="14" t="s">
        <v>1083</v>
      </c>
      <c r="M164" s="18"/>
      <c r="N164" s="9" t="s">
        <v>138</v>
      </c>
      <c r="O164" s="15" t="s">
        <v>139</v>
      </c>
      <c r="P164" s="14" t="s">
        <v>140</v>
      </c>
      <c r="Q164" s="19"/>
      <c r="R164" s="19"/>
      <c r="S164" s="19"/>
      <c r="T164" s="19"/>
      <c r="U164" s="19"/>
      <c r="V164" s="19"/>
    </row>
    <row r="165" customFormat="false" ht="15" hidden="false" customHeight="true" outlineLevel="0" collapsed="false">
      <c r="A165" s="8" t="s">
        <v>1084</v>
      </c>
      <c r="B165" s="9" t="s">
        <v>131</v>
      </c>
      <c r="C165" s="9" t="s">
        <v>1085</v>
      </c>
      <c r="D165" s="9" t="s">
        <v>288</v>
      </c>
      <c r="E165" s="16" t="n">
        <v>220</v>
      </c>
      <c r="F165" s="16" t="n">
        <v>250</v>
      </c>
      <c r="G165" s="16" t="n">
        <v>300</v>
      </c>
      <c r="H165" s="11" t="s">
        <v>51</v>
      </c>
      <c r="I165" s="17" t="n">
        <f aca="false">IF(H165="L",E165,IF(H165="H",G165,F165))</f>
        <v>250</v>
      </c>
      <c r="J165" s="23" t="s">
        <v>108</v>
      </c>
      <c r="K165" s="9" t="s">
        <v>109</v>
      </c>
      <c r="L165" s="14" t="s">
        <v>1086</v>
      </c>
      <c r="M165" s="18"/>
      <c r="N165" s="19"/>
      <c r="O165" s="19"/>
      <c r="P165" s="19"/>
      <c r="Q165" s="19"/>
      <c r="R165" s="19"/>
      <c r="S165" s="19"/>
      <c r="T165" s="19"/>
      <c r="U165" s="19"/>
      <c r="V165" s="19"/>
    </row>
    <row r="166" customFormat="false" ht="15" hidden="false" customHeight="true" outlineLevel="0" collapsed="false">
      <c r="A166" s="8" t="s">
        <v>1087</v>
      </c>
      <c r="B166" s="9" t="s">
        <v>131</v>
      </c>
      <c r="C166" s="9" t="s">
        <v>1088</v>
      </c>
      <c r="D166" s="9" t="s">
        <v>146</v>
      </c>
      <c r="E166" s="26" t="n">
        <v>4.7</v>
      </c>
      <c r="F166" s="26" t="n">
        <v>5.5</v>
      </c>
      <c r="G166" s="26" t="n">
        <v>6</v>
      </c>
      <c r="H166" s="11" t="s">
        <v>51</v>
      </c>
      <c r="I166" s="27" t="n">
        <f aca="false">IF(H166="L",E166,IF(H166="H",G166,F166))</f>
        <v>5.5</v>
      </c>
      <c r="J166" s="13" t="s">
        <v>52</v>
      </c>
      <c r="K166" s="9" t="s">
        <v>109</v>
      </c>
      <c r="L166" s="14" t="s">
        <v>1089</v>
      </c>
      <c r="M166" s="18"/>
      <c r="N166" s="9" t="s">
        <v>160</v>
      </c>
      <c r="O166" s="15" t="s">
        <v>161</v>
      </c>
      <c r="P166" s="14" t="s">
        <v>162</v>
      </c>
      <c r="Q166" s="19"/>
      <c r="R166" s="19"/>
      <c r="S166" s="19"/>
      <c r="T166" s="19"/>
      <c r="U166" s="19"/>
      <c r="V166" s="19"/>
    </row>
    <row r="167" customFormat="false" ht="15" hidden="false" customHeight="true" outlineLevel="0" collapsed="false">
      <c r="A167" s="8" t="s">
        <v>1090</v>
      </c>
      <c r="B167" s="9" t="s">
        <v>642</v>
      </c>
      <c r="C167" s="9" t="s">
        <v>1091</v>
      </c>
      <c r="D167" s="9" t="s">
        <v>288</v>
      </c>
      <c r="E167" s="16" t="n">
        <v>0</v>
      </c>
      <c r="F167" s="16" t="n">
        <v>1</v>
      </c>
      <c r="G167" s="16" t="n">
        <v>2</v>
      </c>
      <c r="H167" s="11" t="s">
        <v>51</v>
      </c>
      <c r="I167" s="17" t="n">
        <f aca="false">IF(H167="L",E167,IF(H167="H",G167,F167))</f>
        <v>1</v>
      </c>
      <c r="J167" s="23" t="s">
        <v>108</v>
      </c>
      <c r="K167" s="9" t="s">
        <v>109</v>
      </c>
      <c r="L167" s="14" t="s">
        <v>1092</v>
      </c>
      <c r="M167" s="18"/>
      <c r="N167" s="19"/>
      <c r="O167" s="19"/>
      <c r="P167" s="19"/>
      <c r="Q167" s="19"/>
      <c r="R167" s="19"/>
      <c r="S167" s="19"/>
      <c r="T167" s="19"/>
      <c r="U167" s="19"/>
      <c r="V167" s="19"/>
    </row>
    <row r="168" customFormat="false" ht="26.25" hidden="false" customHeight="true" outlineLevel="0" collapsed="false">
      <c r="A168" s="8" t="s">
        <v>1093</v>
      </c>
      <c r="B168" s="9" t="s">
        <v>684</v>
      </c>
      <c r="C168" s="9" t="s">
        <v>1094</v>
      </c>
      <c r="D168" s="9" t="s">
        <v>50</v>
      </c>
      <c r="E168" s="10" t="n">
        <v>0.8</v>
      </c>
      <c r="F168" s="10" t="n">
        <v>0.8</v>
      </c>
      <c r="G168" s="10" t="n">
        <v>0.9</v>
      </c>
      <c r="H168" s="11" t="s">
        <v>51</v>
      </c>
      <c r="I168" s="12" t="n">
        <f aca="false">IF(H168="L",E168,IF(H168="H",G168,F168))</f>
        <v>0.8</v>
      </c>
      <c r="J168" s="23" t="s">
        <v>108</v>
      </c>
      <c r="K168" s="9" t="s">
        <v>109</v>
      </c>
      <c r="L168" s="14" t="s">
        <v>1095</v>
      </c>
      <c r="M168" s="18"/>
      <c r="N168" s="19"/>
      <c r="O168" s="19"/>
      <c r="P168" s="19"/>
      <c r="Q168" s="19"/>
      <c r="R168" s="19"/>
      <c r="S168" s="19"/>
      <c r="T168" s="19"/>
      <c r="U168" s="19"/>
      <c r="V168" s="19"/>
    </row>
    <row r="169" customFormat="false" ht="15" hidden="false" customHeight="true" outlineLevel="0" collapsed="false">
      <c r="A169" s="8" t="s">
        <v>1096</v>
      </c>
      <c r="B169" s="9" t="s">
        <v>684</v>
      </c>
      <c r="C169" s="9" t="s">
        <v>1097</v>
      </c>
      <c r="D169" s="9" t="s">
        <v>50</v>
      </c>
      <c r="E169" s="10" t="n">
        <v>0.88</v>
      </c>
      <c r="F169" s="10" t="n">
        <v>0.9</v>
      </c>
      <c r="G169" s="10" t="n">
        <v>0.95</v>
      </c>
      <c r="H169" s="11" t="s">
        <v>51</v>
      </c>
      <c r="I169" s="12" t="n">
        <f aca="false">IF(H169="L",E169,IF(H169="H",G169,F169))</f>
        <v>0.9</v>
      </c>
      <c r="J169" s="23" t="s">
        <v>108</v>
      </c>
      <c r="K169" s="9" t="s">
        <v>109</v>
      </c>
      <c r="L169" s="14" t="s">
        <v>1098</v>
      </c>
      <c r="M169" s="18"/>
      <c r="N169" s="19"/>
      <c r="O169" s="19"/>
      <c r="P169" s="19"/>
      <c r="Q169" s="19"/>
      <c r="R169" s="19"/>
      <c r="S169" s="19"/>
      <c r="T169" s="19"/>
      <c r="U169" s="19"/>
      <c r="V169" s="19"/>
    </row>
    <row r="170" customFormat="false" ht="15" hidden="false" customHeight="true" outlineLevel="0" collapsed="false">
      <c r="A170" s="8" t="s">
        <v>1099</v>
      </c>
      <c r="B170" s="9" t="s">
        <v>684</v>
      </c>
      <c r="C170" s="9" t="s">
        <v>1100</v>
      </c>
      <c r="D170" s="9" t="s">
        <v>50</v>
      </c>
      <c r="E170" s="10" t="n">
        <v>0.7</v>
      </c>
      <c r="F170" s="10" t="n">
        <v>0.8</v>
      </c>
      <c r="G170" s="10" t="n">
        <v>0.8</v>
      </c>
      <c r="H170" s="11" t="s">
        <v>51</v>
      </c>
      <c r="I170" s="12" t="n">
        <f aca="false">IF(H170="L",E170,IF(H170="H",G170,F170))</f>
        <v>0.8</v>
      </c>
      <c r="J170" s="23" t="s">
        <v>108</v>
      </c>
      <c r="K170" s="9" t="s">
        <v>109</v>
      </c>
      <c r="L170" s="14" t="s">
        <v>1101</v>
      </c>
      <c r="M170" s="18"/>
      <c r="N170" s="19"/>
      <c r="O170" s="19"/>
      <c r="P170" s="19"/>
      <c r="Q170" s="19"/>
      <c r="R170" s="19"/>
      <c r="S170" s="19"/>
      <c r="T170" s="19"/>
      <c r="U170" s="19"/>
      <c r="V170" s="19"/>
    </row>
    <row r="171" customFormat="false" ht="15" hidden="false" customHeight="true" outlineLevel="0" collapsed="false">
      <c r="A171" s="8" t="s">
        <v>1102</v>
      </c>
      <c r="B171" s="9" t="s">
        <v>684</v>
      </c>
      <c r="C171" s="9" t="s">
        <v>1103</v>
      </c>
      <c r="D171" s="9" t="s">
        <v>1104</v>
      </c>
      <c r="E171" s="20" t="n">
        <v>1.4</v>
      </c>
      <c r="F171" s="20" t="n">
        <v>1.56</v>
      </c>
      <c r="G171" s="20" t="n">
        <v>1.8</v>
      </c>
      <c r="H171" s="11" t="s">
        <v>51</v>
      </c>
      <c r="I171" s="21" t="n">
        <f aca="false">IF(H171="L",E171,IF(H171="H",G171,F171))</f>
        <v>1.56</v>
      </c>
      <c r="J171" s="23" t="s">
        <v>108</v>
      </c>
      <c r="K171" s="9" t="s">
        <v>109</v>
      </c>
      <c r="L171" s="14" t="s">
        <v>1105</v>
      </c>
      <c r="M171" s="18"/>
      <c r="N171" s="19"/>
      <c r="O171" s="19"/>
      <c r="P171" s="19"/>
      <c r="Q171" s="19"/>
      <c r="R171" s="19"/>
      <c r="S171" s="19"/>
      <c r="T171" s="19"/>
      <c r="U171" s="19"/>
      <c r="V171" s="19"/>
    </row>
    <row r="172" customFormat="false" ht="15" hidden="false" customHeight="true" outlineLevel="0" collapsed="false">
      <c r="A172" s="8" t="s">
        <v>1106</v>
      </c>
      <c r="B172" s="9" t="s">
        <v>684</v>
      </c>
      <c r="C172" s="9" t="s">
        <v>1107</v>
      </c>
      <c r="D172" s="9" t="s">
        <v>67</v>
      </c>
      <c r="E172" s="16" t="n">
        <v>10</v>
      </c>
      <c r="F172" s="16" t="n">
        <v>12</v>
      </c>
      <c r="G172" s="16" t="n">
        <v>15</v>
      </c>
      <c r="H172" s="11" t="s">
        <v>51</v>
      </c>
      <c r="I172" s="17" t="n">
        <f aca="false">IF(H172="L",E172,IF(H172="H",G172,F172))</f>
        <v>12</v>
      </c>
      <c r="J172" s="23" t="s">
        <v>108</v>
      </c>
      <c r="K172" s="9" t="s">
        <v>109</v>
      </c>
      <c r="L172" s="14" t="s">
        <v>1108</v>
      </c>
      <c r="M172" s="18"/>
      <c r="N172" s="19"/>
      <c r="O172" s="19"/>
      <c r="P172" s="19"/>
      <c r="Q172" s="19"/>
      <c r="R172" s="19"/>
      <c r="S172" s="19"/>
      <c r="T172" s="19"/>
      <c r="U172" s="19"/>
      <c r="V172" s="19"/>
    </row>
    <row r="173" customFormat="false" ht="15" hidden="false" customHeight="true" outlineLevel="0" collapsed="false">
      <c r="A173" s="8" t="s">
        <v>1109</v>
      </c>
      <c r="B173" s="9" t="s">
        <v>684</v>
      </c>
      <c r="C173" s="9" t="s">
        <v>1110</v>
      </c>
      <c r="D173" s="9" t="s">
        <v>368</v>
      </c>
      <c r="E173" s="10" t="n">
        <v>0.03</v>
      </c>
      <c r="F173" s="10" t="n">
        <v>0.05</v>
      </c>
      <c r="G173" s="10" t="n">
        <v>0.08</v>
      </c>
      <c r="H173" s="11" t="s">
        <v>51</v>
      </c>
      <c r="I173" s="12" t="n">
        <f aca="false">IF(H173="L",E173,IF(H173="H",G173,F173))</f>
        <v>0.05</v>
      </c>
      <c r="J173" s="23" t="s">
        <v>108</v>
      </c>
      <c r="K173" s="9" t="s">
        <v>109</v>
      </c>
      <c r="L173" s="14" t="s">
        <v>1111</v>
      </c>
      <c r="M173" s="18"/>
      <c r="N173" s="19"/>
      <c r="O173" s="19"/>
      <c r="P173" s="19"/>
      <c r="Q173" s="19"/>
      <c r="R173" s="19"/>
      <c r="S173" s="19"/>
      <c r="T173" s="19"/>
      <c r="U173" s="19"/>
      <c r="V173" s="19"/>
    </row>
    <row r="174" customFormat="false" ht="15" hidden="false" customHeight="true" outlineLevel="0" collapsed="false">
      <c r="A174" s="8" t="s">
        <v>1112</v>
      </c>
      <c r="B174" s="9" t="s">
        <v>684</v>
      </c>
      <c r="C174" s="9" t="s">
        <v>1113</v>
      </c>
      <c r="D174" s="9" t="s">
        <v>368</v>
      </c>
      <c r="E174" s="10" t="n">
        <v>0.01</v>
      </c>
      <c r="F174" s="10" t="n">
        <v>0.015</v>
      </c>
      <c r="G174" s="10" t="n">
        <v>0.02</v>
      </c>
      <c r="H174" s="11" t="s">
        <v>51</v>
      </c>
      <c r="I174" s="12" t="n">
        <f aca="false">IF(H174="L",E174,IF(H174="H",G174,F174))</f>
        <v>0.015</v>
      </c>
      <c r="J174" s="23" t="s">
        <v>108</v>
      </c>
      <c r="K174" s="9" t="s">
        <v>109</v>
      </c>
      <c r="L174" s="14" t="s">
        <v>1114</v>
      </c>
      <c r="M174" s="18"/>
      <c r="N174" s="19"/>
      <c r="O174" s="19"/>
      <c r="P174" s="19"/>
      <c r="Q174" s="19"/>
      <c r="R174" s="19"/>
      <c r="S174" s="19"/>
      <c r="T174" s="19"/>
      <c r="U174" s="19"/>
      <c r="V174" s="19"/>
    </row>
    <row r="175" customFormat="false" ht="15" hidden="false" customHeight="true" outlineLevel="0" collapsed="false">
      <c r="A175" s="8" t="s">
        <v>1115</v>
      </c>
      <c r="B175" s="9" t="s">
        <v>684</v>
      </c>
      <c r="C175" s="9" t="s">
        <v>1116</v>
      </c>
      <c r="D175" s="9" t="s">
        <v>255</v>
      </c>
      <c r="E175" s="10" t="n">
        <v>0.004</v>
      </c>
      <c r="F175" s="10" t="n">
        <v>0.005</v>
      </c>
      <c r="G175" s="10" t="n">
        <v>0.008</v>
      </c>
      <c r="H175" s="11" t="s">
        <v>51</v>
      </c>
      <c r="I175" s="12" t="n">
        <f aca="false">IF(H175="L",E175,IF(H175="H",G175,F175))</f>
        <v>0.005</v>
      </c>
      <c r="J175" s="23" t="s">
        <v>108</v>
      </c>
      <c r="K175" s="9" t="s">
        <v>109</v>
      </c>
      <c r="L175" s="14" t="s">
        <v>1117</v>
      </c>
      <c r="M175" s="18"/>
      <c r="N175" s="19"/>
      <c r="O175" s="19"/>
      <c r="P175" s="19"/>
      <c r="Q175" s="19"/>
      <c r="R175" s="19"/>
      <c r="S175" s="19"/>
      <c r="T175" s="19"/>
      <c r="U175" s="19"/>
      <c r="V175" s="19"/>
    </row>
    <row r="176" customFormat="false" ht="15" hidden="false" customHeight="true" outlineLevel="0" collapsed="false">
      <c r="A176" s="8" t="s">
        <v>1118</v>
      </c>
      <c r="B176" s="9" t="s">
        <v>684</v>
      </c>
      <c r="C176" s="9" t="s">
        <v>1119</v>
      </c>
      <c r="D176" s="9" t="s">
        <v>368</v>
      </c>
      <c r="E176" s="10" t="n">
        <v>0.005</v>
      </c>
      <c r="F176" s="10" t="n">
        <v>0.01</v>
      </c>
      <c r="G176" s="10" t="n">
        <v>0.02</v>
      </c>
      <c r="H176" s="11" t="s">
        <v>51</v>
      </c>
      <c r="I176" s="12" t="n">
        <f aca="false">IF(H176="L",E176,IF(H176="H",G176,F176))</f>
        <v>0.01</v>
      </c>
      <c r="J176" s="23" t="s">
        <v>108</v>
      </c>
      <c r="K176" s="9" t="s">
        <v>109</v>
      </c>
      <c r="L176" s="14" t="s">
        <v>1120</v>
      </c>
      <c r="M176" s="18"/>
      <c r="N176" s="19"/>
      <c r="O176" s="19"/>
      <c r="P176" s="19"/>
      <c r="Q176" s="19"/>
      <c r="R176" s="19"/>
      <c r="S176" s="19"/>
      <c r="T176" s="19"/>
      <c r="U176" s="19"/>
      <c r="V176" s="19"/>
    </row>
    <row r="177" customFormat="false" ht="26.25" hidden="false" customHeight="true" outlineLevel="0" collapsed="false">
      <c r="A177" s="8" t="s">
        <v>1121</v>
      </c>
      <c r="B177" s="9" t="s">
        <v>371</v>
      </c>
      <c r="C177" s="9" t="s">
        <v>1122</v>
      </c>
      <c r="D177" s="9" t="s">
        <v>337</v>
      </c>
      <c r="E177" s="16" t="n">
        <v>8</v>
      </c>
      <c r="F177" s="16" t="n">
        <v>10</v>
      </c>
      <c r="G177" s="16" t="n">
        <v>12</v>
      </c>
      <c r="H177" s="11" t="s">
        <v>51</v>
      </c>
      <c r="I177" s="17" t="n">
        <f aca="false">IF(H177="L",E177,IF(H177="H",G177,F177))</f>
        <v>10</v>
      </c>
      <c r="J177" s="13" t="s">
        <v>52</v>
      </c>
      <c r="K177" s="9" t="s">
        <v>109</v>
      </c>
      <c r="L177" s="14" t="s">
        <v>1123</v>
      </c>
      <c r="M177" s="18"/>
      <c r="N177" s="9" t="s">
        <v>1124</v>
      </c>
      <c r="O177" s="15" t="s">
        <v>419</v>
      </c>
      <c r="P177" s="14" t="s">
        <v>1125</v>
      </c>
      <c r="Q177" s="19"/>
      <c r="R177" s="19"/>
      <c r="S177" s="19"/>
      <c r="T177" s="19"/>
      <c r="U177" s="19"/>
      <c r="V177" s="19"/>
    </row>
    <row r="178" customFormat="false" ht="15" hidden="false" customHeight="true" outlineLevel="0" collapsed="false">
      <c r="A178" s="8" t="s">
        <v>1126</v>
      </c>
      <c r="B178" s="9" t="s">
        <v>371</v>
      </c>
      <c r="C178" s="9" t="s">
        <v>1127</v>
      </c>
      <c r="D178" s="9" t="s">
        <v>1128</v>
      </c>
      <c r="E178" s="24" t="n">
        <v>0.5</v>
      </c>
      <c r="F178" s="24" t="n">
        <v>0.5</v>
      </c>
      <c r="G178" s="24" t="n">
        <v>0.5</v>
      </c>
      <c r="H178" s="11" t="s">
        <v>51</v>
      </c>
      <c r="I178" s="25" t="n">
        <f aca="false">IF(H178="L",E178,IF(H178="H",G178,F178))</f>
        <v>0.5</v>
      </c>
      <c r="J178" s="22" t="s">
        <v>81</v>
      </c>
      <c r="K178" s="9" t="s">
        <v>109</v>
      </c>
      <c r="L178" s="14" t="s">
        <v>1129</v>
      </c>
      <c r="M178" s="18"/>
      <c r="N178" s="9" t="s">
        <v>1124</v>
      </c>
      <c r="O178" s="15" t="s">
        <v>419</v>
      </c>
      <c r="P178" s="14" t="s">
        <v>1130</v>
      </c>
      <c r="Q178" s="19"/>
      <c r="R178" s="19"/>
      <c r="S178" s="19"/>
      <c r="T178" s="19"/>
      <c r="U178" s="19"/>
      <c r="V178" s="19"/>
    </row>
    <row r="179" customFormat="false" ht="15" hidden="false" customHeight="true" outlineLevel="0" collapsed="false">
      <c r="A179" s="8" t="s">
        <v>1131</v>
      </c>
      <c r="B179" s="9" t="s">
        <v>371</v>
      </c>
      <c r="C179" s="9" t="s">
        <v>1132</v>
      </c>
      <c r="D179" s="9" t="s">
        <v>146</v>
      </c>
      <c r="E179" s="26" t="n">
        <v>5</v>
      </c>
      <c r="F179" s="26" t="n">
        <v>6.06</v>
      </c>
      <c r="G179" s="26" t="n">
        <v>7</v>
      </c>
      <c r="H179" s="11" t="s">
        <v>51</v>
      </c>
      <c r="I179" s="27" t="n">
        <f aca="false">IF(H179="L",E179,IF(H179="H",G179,F179))</f>
        <v>6.06</v>
      </c>
      <c r="J179" s="22" t="s">
        <v>81</v>
      </c>
      <c r="K179" s="9" t="s">
        <v>109</v>
      </c>
      <c r="L179" s="14" t="s">
        <v>1133</v>
      </c>
      <c r="M179" s="18"/>
      <c r="N179" s="9" t="s">
        <v>412</v>
      </c>
      <c r="O179" s="15" t="s">
        <v>413</v>
      </c>
      <c r="P179" s="14" t="s">
        <v>1134</v>
      </c>
      <c r="Q179" s="19"/>
      <c r="R179" s="19"/>
      <c r="S179" s="19"/>
      <c r="T179" s="19"/>
      <c r="U179" s="19"/>
      <c r="V179" s="19"/>
    </row>
    <row r="180" customFormat="false" ht="15" hidden="false" customHeight="true" outlineLevel="0" collapsed="false">
      <c r="A180" s="8" t="s">
        <v>1135</v>
      </c>
      <c r="B180" s="9" t="s">
        <v>371</v>
      </c>
      <c r="C180" s="9" t="s">
        <v>1136</v>
      </c>
      <c r="D180" s="9" t="s">
        <v>67</v>
      </c>
      <c r="E180" s="16" t="n">
        <v>5</v>
      </c>
      <c r="F180" s="16" t="n">
        <v>7</v>
      </c>
      <c r="G180" s="16" t="n">
        <v>10</v>
      </c>
      <c r="H180" s="11" t="s">
        <v>51</v>
      </c>
      <c r="I180" s="17" t="n">
        <f aca="false">IF(H180="L",E180,IF(H180="H",G180,F180))</f>
        <v>7</v>
      </c>
      <c r="J180" s="23" t="s">
        <v>108</v>
      </c>
      <c r="K180" s="9" t="s">
        <v>109</v>
      </c>
      <c r="L180" s="14" t="s">
        <v>1137</v>
      </c>
      <c r="M180" s="18"/>
      <c r="N180" s="19"/>
      <c r="O180" s="19"/>
      <c r="P180" s="19"/>
      <c r="Q180" s="19"/>
      <c r="R180" s="19"/>
      <c r="S180" s="19"/>
      <c r="T180" s="19"/>
      <c r="U180" s="19"/>
      <c r="V180" s="19"/>
    </row>
    <row r="181" customFormat="false" ht="26.25" hidden="false" customHeight="true" outlineLevel="0" collapsed="false">
      <c r="A181" s="8" t="s">
        <v>1138</v>
      </c>
      <c r="B181" s="9" t="s">
        <v>587</v>
      </c>
      <c r="C181" s="9" t="s">
        <v>1139</v>
      </c>
      <c r="D181" s="9" t="s">
        <v>1140</v>
      </c>
      <c r="E181" s="20" t="n">
        <v>1</v>
      </c>
      <c r="F181" s="20" t="n">
        <v>2.2</v>
      </c>
      <c r="G181" s="20" t="n">
        <v>2.4</v>
      </c>
      <c r="H181" s="11" t="s">
        <v>51</v>
      </c>
      <c r="I181" s="21" t="n">
        <f aca="false">IF(H181="L",E181,IF(H181="H",G181,F181))</f>
        <v>2.2</v>
      </c>
      <c r="J181" s="22" t="s">
        <v>81</v>
      </c>
      <c r="K181" s="9" t="s">
        <v>109</v>
      </c>
      <c r="L181" s="14" t="s">
        <v>1141</v>
      </c>
      <c r="M181" s="18"/>
      <c r="N181" s="9" t="s">
        <v>600</v>
      </c>
      <c r="O181" s="15" t="s">
        <v>601</v>
      </c>
      <c r="P181" s="14" t="s">
        <v>1142</v>
      </c>
      <c r="Q181" s="19"/>
      <c r="R181" s="19"/>
      <c r="S181" s="19"/>
      <c r="T181" s="19"/>
      <c r="U181" s="19"/>
      <c r="V181" s="19"/>
    </row>
    <row r="182" customFormat="false" ht="15" hidden="false" customHeight="true" outlineLevel="0" collapsed="false">
      <c r="A182" s="8" t="s">
        <v>1143</v>
      </c>
      <c r="B182" s="9" t="s">
        <v>319</v>
      </c>
      <c r="C182" s="9" t="s">
        <v>1144</v>
      </c>
      <c r="D182" s="9" t="s">
        <v>190</v>
      </c>
      <c r="E182" s="28" t="n">
        <v>2200</v>
      </c>
      <c r="F182" s="28" t="n">
        <v>2600</v>
      </c>
      <c r="G182" s="28" t="n">
        <v>3000</v>
      </c>
      <c r="H182" s="11" t="s">
        <v>51</v>
      </c>
      <c r="I182" s="29" t="n">
        <f aca="false">IF(H182="L",E182,IF(H182="H",G182,F182))</f>
        <v>2600</v>
      </c>
      <c r="J182" s="22" t="s">
        <v>81</v>
      </c>
      <c r="K182" s="9" t="s">
        <v>109</v>
      </c>
      <c r="L182" s="14" t="s">
        <v>1145</v>
      </c>
      <c r="M182" s="18"/>
      <c r="N182" s="9" t="s">
        <v>326</v>
      </c>
      <c r="O182" s="15" t="s">
        <v>327</v>
      </c>
      <c r="P182" s="14" t="s">
        <v>1146</v>
      </c>
      <c r="Q182" s="19"/>
      <c r="R182" s="19"/>
      <c r="S182" s="19"/>
      <c r="T182" s="19"/>
      <c r="U182" s="19"/>
      <c r="V182" s="19"/>
    </row>
    <row r="183" customFormat="false" ht="15" hidden="false" customHeight="true" outlineLevel="0" collapsed="false">
      <c r="A183" s="8" t="s">
        <v>1147</v>
      </c>
      <c r="B183" s="9" t="s">
        <v>319</v>
      </c>
      <c r="C183" s="9" t="s">
        <v>1148</v>
      </c>
      <c r="D183" s="9" t="s">
        <v>67</v>
      </c>
      <c r="E183" s="16" t="n">
        <v>5</v>
      </c>
      <c r="F183" s="16" t="n">
        <v>8</v>
      </c>
      <c r="G183" s="16" t="n">
        <v>10</v>
      </c>
      <c r="H183" s="11" t="s">
        <v>51</v>
      </c>
      <c r="I183" s="17" t="n">
        <f aca="false">IF(H183="L",E183,IF(H183="H",G183,F183))</f>
        <v>8</v>
      </c>
      <c r="J183" s="23" t="s">
        <v>108</v>
      </c>
      <c r="K183" s="9" t="s">
        <v>109</v>
      </c>
      <c r="L183" s="14" t="s">
        <v>1149</v>
      </c>
      <c r="M183" s="18"/>
      <c r="N183" s="19"/>
      <c r="O183" s="19"/>
      <c r="P183" s="19"/>
      <c r="Q183" s="19"/>
      <c r="R183" s="19"/>
      <c r="S183" s="19"/>
      <c r="T183" s="19"/>
      <c r="U183" s="19"/>
      <c r="V183" s="19"/>
    </row>
    <row r="184" customFormat="false" ht="15" hidden="false" customHeight="true" outlineLevel="0" collapsed="false">
      <c r="A184" s="8" t="s">
        <v>1150</v>
      </c>
      <c r="B184" s="9" t="s">
        <v>515</v>
      </c>
      <c r="C184" s="9" t="s">
        <v>1151</v>
      </c>
      <c r="D184" s="9" t="s">
        <v>1152</v>
      </c>
      <c r="E184" s="10" t="n">
        <v>0.55</v>
      </c>
      <c r="F184" s="10" t="n">
        <v>0.65</v>
      </c>
      <c r="G184" s="10" t="n">
        <v>0.78</v>
      </c>
      <c r="H184" s="11" t="s">
        <v>51</v>
      </c>
      <c r="I184" s="12" t="n">
        <f aca="false">IF(H184="L",E184,IF(H184="H",G184,F184))</f>
        <v>0.65</v>
      </c>
      <c r="J184" s="22" t="s">
        <v>81</v>
      </c>
      <c r="K184" s="9" t="s">
        <v>109</v>
      </c>
      <c r="L184" s="14" t="s">
        <v>1153</v>
      </c>
      <c r="M184" s="18"/>
      <c r="N184" s="9" t="s">
        <v>579</v>
      </c>
      <c r="O184" s="15" t="s">
        <v>580</v>
      </c>
      <c r="P184" s="14" t="s">
        <v>581</v>
      </c>
      <c r="Q184" s="19"/>
      <c r="R184" s="19"/>
      <c r="S184" s="19"/>
      <c r="T184" s="19"/>
      <c r="U184" s="19"/>
      <c r="V184" s="19"/>
    </row>
    <row r="185" customFormat="false" ht="39" hidden="false" customHeight="true" outlineLevel="0" collapsed="false">
      <c r="A185" s="8" t="s">
        <v>1154</v>
      </c>
      <c r="B185" s="9" t="s">
        <v>684</v>
      </c>
      <c r="C185" s="9" t="s">
        <v>1155</v>
      </c>
      <c r="D185" s="9" t="s">
        <v>730</v>
      </c>
      <c r="E185" s="16" t="n">
        <v>30</v>
      </c>
      <c r="F185" s="16" t="n">
        <v>30</v>
      </c>
      <c r="G185" s="16" t="n">
        <v>65</v>
      </c>
      <c r="H185" s="11" t="s">
        <v>51</v>
      </c>
      <c r="I185" s="17" t="n">
        <f aca="false">IF(H185="L",E185,IF(H185="H",G185,F185))</f>
        <v>30</v>
      </c>
      <c r="J185" s="23" t="s">
        <v>108</v>
      </c>
      <c r="K185" s="9" t="s">
        <v>109</v>
      </c>
      <c r="L185" s="14" t="s">
        <v>1156</v>
      </c>
      <c r="M185" s="18"/>
      <c r="N185" s="19"/>
      <c r="O185" s="19"/>
      <c r="P185" s="19"/>
      <c r="Q185" s="19"/>
      <c r="R185" s="19"/>
      <c r="S185" s="19"/>
      <c r="T185" s="19"/>
      <c r="U185" s="19"/>
      <c r="V185" s="19"/>
    </row>
    <row r="186" customFormat="false" ht="15" hidden="false" customHeight="true" outlineLevel="0" collapsed="false">
      <c r="A186" s="8" t="s">
        <v>1157</v>
      </c>
      <c r="B186" s="9" t="s">
        <v>684</v>
      </c>
      <c r="C186" s="9" t="s">
        <v>1158</v>
      </c>
      <c r="D186" s="9" t="s">
        <v>1159</v>
      </c>
      <c r="E186" s="16" t="n">
        <v>10</v>
      </c>
      <c r="F186" s="16" t="n">
        <v>12</v>
      </c>
      <c r="G186" s="16" t="n">
        <v>15</v>
      </c>
      <c r="H186" s="11" t="s">
        <v>51</v>
      </c>
      <c r="I186" s="17" t="n">
        <f aca="false">IF(H186="L",E186,IF(H186="H",G186,F186))</f>
        <v>12</v>
      </c>
      <c r="J186" s="23" t="s">
        <v>108</v>
      </c>
      <c r="K186" s="9" t="s">
        <v>109</v>
      </c>
      <c r="L186" s="14" t="s">
        <v>1160</v>
      </c>
      <c r="M186" s="18"/>
      <c r="N186" s="19"/>
      <c r="O186" s="19"/>
      <c r="P186" s="19"/>
      <c r="Q186" s="19"/>
      <c r="R186" s="19"/>
      <c r="S186" s="19"/>
      <c r="T186" s="19"/>
      <c r="U186" s="19"/>
      <c r="V186" s="19"/>
    </row>
    <row r="187" customFormat="false" ht="15" hidden="false" customHeight="true" outlineLevel="0" collapsed="false">
      <c r="A187" s="8" t="s">
        <v>1161</v>
      </c>
      <c r="B187" s="9" t="s">
        <v>684</v>
      </c>
      <c r="C187" s="9" t="s">
        <v>1162</v>
      </c>
      <c r="D187" s="9" t="s">
        <v>1159</v>
      </c>
      <c r="E187" s="16" t="n">
        <v>8</v>
      </c>
      <c r="F187" s="16" t="n">
        <v>10</v>
      </c>
      <c r="G187" s="16" t="n">
        <v>12</v>
      </c>
      <c r="H187" s="11" t="s">
        <v>51</v>
      </c>
      <c r="I187" s="17" t="n">
        <f aca="false">IF(H187="L",E187,IF(H187="H",G187,F187))</f>
        <v>10</v>
      </c>
      <c r="J187" s="23" t="s">
        <v>108</v>
      </c>
      <c r="K187" s="9" t="s">
        <v>109</v>
      </c>
      <c r="L187" s="14" t="s">
        <v>1163</v>
      </c>
      <c r="M187" s="18"/>
      <c r="N187" s="19"/>
      <c r="O187" s="19"/>
      <c r="P187" s="19"/>
      <c r="Q187" s="19"/>
      <c r="R187" s="19"/>
      <c r="S187" s="19"/>
      <c r="T187" s="19"/>
      <c r="U187" s="19"/>
      <c r="V187" s="19"/>
    </row>
    <row r="188" customFormat="false" ht="15" hidden="false" customHeight="true" outlineLevel="0" collapsed="false">
      <c r="A188" s="8" t="s">
        <v>1164</v>
      </c>
      <c r="B188" s="9" t="s">
        <v>444</v>
      </c>
      <c r="C188" s="9" t="s">
        <v>1165</v>
      </c>
      <c r="D188" s="9" t="s">
        <v>67</v>
      </c>
      <c r="E188" s="16" t="n">
        <v>2</v>
      </c>
      <c r="F188" s="16" t="n">
        <v>3</v>
      </c>
      <c r="G188" s="16" t="n">
        <v>4</v>
      </c>
      <c r="H188" s="11" t="s">
        <v>51</v>
      </c>
      <c r="I188" s="17" t="n">
        <f aca="false">IF(H188="L",E188,IF(H188="H",G188,F188))</f>
        <v>3</v>
      </c>
      <c r="J188" s="23" t="s">
        <v>108</v>
      </c>
      <c r="K188" s="9" t="s">
        <v>109</v>
      </c>
      <c r="L188" s="14" t="s">
        <v>1166</v>
      </c>
      <c r="M188" s="18"/>
      <c r="N188" s="19"/>
      <c r="O188" s="19"/>
      <c r="P188" s="19"/>
      <c r="Q188" s="19"/>
      <c r="R188" s="19"/>
      <c r="S188" s="19"/>
      <c r="T188" s="19"/>
      <c r="U188" s="19"/>
      <c r="V188" s="19"/>
    </row>
    <row r="189" customFormat="false" ht="15" hidden="false" customHeight="true" outlineLevel="0" collapsed="false">
      <c r="A189" s="8" t="s">
        <v>1167</v>
      </c>
      <c r="B189" s="9" t="s">
        <v>444</v>
      </c>
      <c r="C189" s="9" t="s">
        <v>1168</v>
      </c>
      <c r="D189" s="9" t="s">
        <v>67</v>
      </c>
      <c r="E189" s="16" t="n">
        <v>5</v>
      </c>
      <c r="F189" s="16" t="n">
        <v>10</v>
      </c>
      <c r="G189" s="16" t="n">
        <v>15</v>
      </c>
      <c r="H189" s="11" t="s">
        <v>51</v>
      </c>
      <c r="I189" s="17" t="n">
        <f aca="false">IF(H189="L",E189,IF(H189="H",G189,F189))</f>
        <v>10</v>
      </c>
      <c r="J189" s="23" t="s">
        <v>108</v>
      </c>
      <c r="K189" s="9" t="s">
        <v>109</v>
      </c>
      <c r="L189" s="14" t="s">
        <v>1169</v>
      </c>
      <c r="M189" s="18"/>
      <c r="N189" s="19"/>
      <c r="O189" s="19"/>
      <c r="P189" s="19"/>
      <c r="Q189" s="19"/>
      <c r="R189" s="19"/>
      <c r="S189" s="19"/>
      <c r="T189" s="19"/>
      <c r="U189" s="19"/>
      <c r="V189" s="19"/>
    </row>
    <row r="190" customFormat="false" ht="26.25" hidden="false" customHeight="true" outlineLevel="0" collapsed="false">
      <c r="A190" s="8" t="s">
        <v>1170</v>
      </c>
      <c r="B190" s="9" t="s">
        <v>587</v>
      </c>
      <c r="C190" s="9" t="s">
        <v>1171</v>
      </c>
      <c r="D190" s="9" t="s">
        <v>1172</v>
      </c>
      <c r="E190" s="20" t="n">
        <v>1</v>
      </c>
      <c r="F190" s="20" t="n">
        <v>2</v>
      </c>
      <c r="G190" s="20" t="n">
        <v>5.6</v>
      </c>
      <c r="H190" s="11" t="s">
        <v>51</v>
      </c>
      <c r="I190" s="21" t="n">
        <f aca="false">IF(H190="L",E190,IF(H190="H",G190,F190))</f>
        <v>2</v>
      </c>
      <c r="J190" s="22" t="s">
        <v>81</v>
      </c>
      <c r="K190" s="9" t="s">
        <v>109</v>
      </c>
      <c r="L190" s="14" t="s">
        <v>1173</v>
      </c>
      <c r="M190" s="18"/>
      <c r="N190" s="9" t="s">
        <v>600</v>
      </c>
      <c r="O190" s="15" t="s">
        <v>601</v>
      </c>
      <c r="P190" s="14" t="s">
        <v>1174</v>
      </c>
      <c r="Q190" s="19"/>
      <c r="R190" s="19"/>
      <c r="S190" s="19"/>
      <c r="T190" s="19"/>
      <c r="U190" s="19"/>
      <c r="V190" s="19"/>
    </row>
    <row r="191" customFormat="false" ht="15" hidden="false" customHeight="true" outlineLevel="0" collapsed="false">
      <c r="A191" s="8" t="s">
        <v>1175</v>
      </c>
      <c r="B191" s="9" t="s">
        <v>764</v>
      </c>
      <c r="C191" s="9" t="s">
        <v>1176</v>
      </c>
      <c r="D191" s="9" t="s">
        <v>341</v>
      </c>
      <c r="E191" s="28" t="n">
        <v>5000</v>
      </c>
      <c r="F191" s="28" t="n">
        <v>10000</v>
      </c>
      <c r="G191" s="28" t="n">
        <v>20000</v>
      </c>
      <c r="H191" s="11" t="s">
        <v>51</v>
      </c>
      <c r="I191" s="29" t="n">
        <f aca="false">IF(H191="L",E191,IF(H191="H",G191,F191))</f>
        <v>10000</v>
      </c>
      <c r="J191" s="23" t="s">
        <v>108</v>
      </c>
      <c r="K191" s="9" t="s">
        <v>109</v>
      </c>
      <c r="L191" s="14" t="s">
        <v>1177</v>
      </c>
      <c r="M191" s="18"/>
      <c r="N191" s="19"/>
      <c r="O191" s="19"/>
      <c r="P191" s="19"/>
      <c r="Q191" s="19"/>
      <c r="R191" s="19"/>
      <c r="S191" s="19"/>
      <c r="T191" s="19"/>
      <c r="U191" s="19"/>
      <c r="V191" s="19"/>
    </row>
    <row r="192" customFormat="false" ht="26.25" hidden="false" customHeight="true" outlineLevel="0" collapsed="false">
      <c r="A192" s="8" t="s">
        <v>1178</v>
      </c>
      <c r="B192" s="9" t="s">
        <v>957</v>
      </c>
      <c r="C192" s="9" t="s">
        <v>1179</v>
      </c>
      <c r="D192" s="9" t="s">
        <v>50</v>
      </c>
      <c r="E192" s="10" t="n">
        <v>0.08</v>
      </c>
      <c r="F192" s="10" t="n">
        <v>0.08</v>
      </c>
      <c r="G192" s="10" t="n">
        <v>0.08</v>
      </c>
      <c r="H192" s="11" t="s">
        <v>51</v>
      </c>
      <c r="I192" s="12" t="n">
        <f aca="false">IF(H192="L",E192,IF(H192="H",G192,F192))</f>
        <v>0.08</v>
      </c>
      <c r="J192" s="22" t="s">
        <v>81</v>
      </c>
      <c r="K192" s="9" t="s">
        <v>109</v>
      </c>
      <c r="L192" s="14" t="s">
        <v>1036</v>
      </c>
      <c r="M192" s="18"/>
      <c r="N192" s="9" t="s">
        <v>1055</v>
      </c>
      <c r="O192" s="15" t="s">
        <v>1056</v>
      </c>
      <c r="P192" s="14" t="s">
        <v>1180</v>
      </c>
      <c r="Q192" s="19"/>
      <c r="R192" s="19"/>
      <c r="S192" s="19"/>
      <c r="T192" s="19"/>
      <c r="U192" s="19"/>
      <c r="V192" s="19"/>
    </row>
    <row r="193" customFormat="false" ht="26.25" hidden="false" customHeight="true" outlineLevel="0" collapsed="false">
      <c r="A193" s="8" t="s">
        <v>1181</v>
      </c>
      <c r="B193" s="9" t="s">
        <v>444</v>
      </c>
      <c r="C193" s="9" t="s">
        <v>1182</v>
      </c>
      <c r="D193" s="9" t="s">
        <v>851</v>
      </c>
      <c r="E193" s="16" t="n">
        <v>50</v>
      </c>
      <c r="F193" s="16" t="n">
        <v>100</v>
      </c>
      <c r="G193" s="16" t="n">
        <v>100</v>
      </c>
      <c r="H193" s="11" t="s">
        <v>51</v>
      </c>
      <c r="I193" s="17" t="n">
        <f aca="false">IF(H193="L",E193,IF(H193="H",G193,F193))</f>
        <v>100</v>
      </c>
      <c r="J193" s="23" t="s">
        <v>108</v>
      </c>
      <c r="K193" s="9" t="s">
        <v>109</v>
      </c>
      <c r="L193" s="14" t="s">
        <v>1183</v>
      </c>
      <c r="M193" s="18"/>
      <c r="N193" s="19"/>
      <c r="O193" s="19"/>
      <c r="P193" s="19"/>
      <c r="Q193" s="19"/>
      <c r="R193" s="19"/>
      <c r="S193" s="19"/>
      <c r="T193" s="19"/>
      <c r="U193" s="19"/>
      <c r="V193" s="19"/>
    </row>
  </sheetData>
  <autoFilter ref="A4:V193"/>
  <dataValidations count="1">
    <dataValidation allowBlank="false" errorStyle="stop" operator="between" showDropDown="false" showErrorMessage="false" showInputMessage="false" sqref="H5:H24 H27 H31 H33:H193" type="list">
      <formula1>"L,B,H"</formula1>
      <formula2>0</formula2>
    </dataValidation>
  </dataValidations>
  <hyperlinks>
    <hyperlink ref="O5" r:id="rId2" display="https://pages.stern.nyu.edu/~adamodar/New_Home_Page/datafile/ctryprem.html"/>
    <hyperlink ref="R5" r:id="rId3" display="https://fred.stlouisfed.org/series/DGS10"/>
    <hyperlink ref="U5" r:id="rId4" display="https://www.graphic.com.gh/business/business-news/fitch-upgrades-ghanas-sovereign-rating-as-debt-burden-eases.html"/>
    <hyperlink ref="O6" r:id="rId5" display="https://development.asia/summary/guidelines-economic-analysis-projects"/>
    <hyperlink ref="R6" r:id="rId6" display="https://apps.worldagroforestry.org/treedb2/speciesprofile.php?Spid=394"/>
    <hyperlink ref="O7" r:id="rId7" display="https://development.asia/summary/guidelines-economic-analysis-projects"/>
    <hyperlink ref="R7" r:id="rId8" display="https://apps.worldagroforestry.org/treedb2/speciesprofile.php?Spid=394"/>
    <hyperlink ref="O8" r:id="rId9" display="https://www.myjoyonline.com/cedi-depreciates-by-9-5-in-nine-months-of-2026-bog/"/>
    <hyperlink ref="R8" r:id="rId10" display="https://www.myjoyonline.com/cedi-to-end-year-at-gh%C2%A212-20-to-a-us-dollar-databank-research/"/>
    <hyperlink ref="U8" r:id="rId11" display="https://www.marketscreener.com/quote/stock/BARCLAYS-PLC-9583556/news/Ghana-s-cedi-set-to-weaken-sharply-as-gold-exports-plateau-and-spending-rises-Barclays-warns-50499015/"/>
    <hyperlink ref="O9" r:id="rId12" display="https://taxsummaries.pwc.com/Ghana/Corporate/Tax-credits-and-incentives"/>
    <hyperlink ref="R9" r:id="rId13" display="https://taxsummaries.pwc.com/ghana/corporate/taxes-on-corporate-income"/>
    <hyperlink ref="O10" r:id="rId14" display="https://taxsummaries.pwc.com/Ghana/Corporate/Tax-credits-and-incentives"/>
    <hyperlink ref="R10" r:id="rId15" display="https://taxsummaries.pwc.com/ghana/corporate/taxes-on-corporate-income"/>
    <hyperlink ref="O11" r:id="rId16" display="https://taxsummaries.pwc.com/Ghana/Corporate/Tax-credits-and-incentives"/>
    <hyperlink ref="R11" r:id="rId17" display="https://taxsummaries.pwc.com/ghana/corporate/taxes-on-corporate-income"/>
    <hyperlink ref="O12" r:id="rId18" display="https://taxsummaries.pwc.com/Ghana/Corporate/Tax-credits-and-incentives"/>
    <hyperlink ref="O13" r:id="rId19" display="https://taxsummaries.pwc.com/ghana/corporate/deductions"/>
    <hyperlink ref="O14" r:id="rId20" display="https://ir.knust.edu.gh/items/55b8fbe9-58e6-4ed9-aedf-281400004a58/full"/>
    <hyperlink ref="R14" r:id="rId21" display="https://ir.knust.edu.gh/items/3dfcb635-4563-4fad-9e72-aba3d0115d5c/full"/>
    <hyperlink ref="O15" r:id="rId22" display="https://gna.org.gh/2026/09/vice-president-opoku-agyemang-opens-world-shea-expo-2026-in-tamale/"/>
    <hyperlink ref="R15" r:id="rId23" display="https://doaj.org/article/73e0ffab0b6a4dd882aaedcc6ee0e28b"/>
    <hyperlink ref="U15" r:id="rId24" display="https://www.howwemadeitinafrica.com/ghana-company-sells-homegrown-shea-butter-to-unilever-and-loccitane/139951/"/>
    <hyperlink ref="O16" r:id="rId25" display="https://www.graphic.com.gh/business/business-news/tcda-sets-gh-9-01-kg-as-minimum-producer-price-for-shea-nuts-from-july-1.html"/>
    <hyperlink ref="R16" r:id="rId26" display="https://doaj.org/article/73e0ffab0b6a4dd882aaedcc6ee0e28b"/>
    <hyperlink ref="U16" r:id="rId27" display="https://www.tridge.com/intelligences/shea-butter/GH/price"/>
    <hyperlink ref="O17" r:id="rId28" display="https://www.tridge.com/market-overview/refined-shea-butter"/>
    <hyperlink ref="R17" r:id="rId29" display="https://www.tridge.com/intelligences/shea-butter/GH/price"/>
    <hyperlink ref="O18" r:id="rId30" display="https://www.gulf-times.com/article/717500/international/africa/sellers-under-strain-in-ivory-coasts-struggling-shea-industry"/>
    <hyperlink ref="R18" r:id="rId31" display="https://ifdc.org/wp-content/uploads/2020/09/EnGRAIS_Port-Fact-Sheet-Tema_EN.pdf"/>
    <hyperlink ref="O19" r:id="rId32" display="https://www.gulf-times.com/article/717500/international/africa/sellers-under-strain-in-ivory-coasts-struggling-shea-industry"/>
    <hyperlink ref="O20" r:id="rId33" display="https://www.citinewsroom.com/2025/07/ghana-targets-640m-annual-revenue-from-shea-under-24-hour-economy-push/"/>
    <hyperlink ref="O21" r:id="rId34" display="https://www.graphic.com.gh/news/general-news/ghana-news-shea-butter-processing-facility-inaugurated-at-kpugi.html"/>
    <hyperlink ref="R21" r:id="rId35" display="https://www.ecofinagency.com/news/2307-47810-ghana-to-revive-shea-processing-plant-with-4-million-injection"/>
    <hyperlink ref="U21" r:id="rId36" display="https://allafrica.com/stories/202602110580.html"/>
    <hyperlink ref="O22" r:id="rId37" display="https://ideas.repec.org/a/spr/envsyd/v44y2024i1d10.1007_s10669-023-09925-y.html"/>
    <hyperlink ref="R22" r:id="rId38" display="https://www.gcirc.org/fileadmin/documents/Proceedings/IRCPrague2011vol2/Oilmill_Refining_Process/1101-1104.pdf"/>
    <hyperlink ref="O24" r:id="rId39" display="https://microdata.worldbank.org/catalog/6444"/>
    <hyperlink ref="O25" r:id="rId40" display="https://www.fao.org/4/X3940E/X3940E09.htm"/>
    <hyperlink ref="R25" r:id="rId41" display="https://agris.fao.org/search/fr/records/65df45000f3e94b9e5d6cd8e"/>
    <hyperlink ref="U25" r:id="rId42" display="https://www.meteo.gov.gh/documents/12579/State_of_the_climate_Report_2025.pdf"/>
    <hyperlink ref="O26" r:id="rId43" display="https://www.fao.org/4/X3940E/X3940E09.htm"/>
    <hyperlink ref="R26" r:id="rId44" display="https://www.ecofinagency.com/news-agriculture/1607-47708-shea-sector-west-africa-market-struggles-as-export-bans-expand"/>
    <hyperlink ref="O27" r:id="rId45" display="https://revues.cirad.fr/index.php/fruits/article/download/35862/34641/37906"/>
    <hyperlink ref="R27" r:id="rId46" display="https://www.fao.org/4/X3940E/X3940E09.htm"/>
    <hyperlink ref="U27" r:id="rId47" display="https://link.springer.com/10.1186/s42408-023-00198-z"/>
    <hyperlink ref="O28" r:id="rId48" display="https://www.myjoyonline.com/west-africa-losing-8-million-shea-trees-annually-global-shea-alliance-warns/"/>
    <hyperlink ref="R28" r:id="rId49" display="https://www.ocl-journal.org/articles/ocl/pdf/2014/02/ocl130026.pdf"/>
    <hyperlink ref="U28" r:id="rId50" display="https://allafrica.com/stories/202506110147.html"/>
    <hyperlink ref="O29" r:id="rId51" display="https://www.myjoyonline.com/?p=10047971"/>
    <hyperlink ref="R29" r:id="rId52" display="https://www.gafonline.mil.gh/blog-details/eastern-naval-command-conducts-flood-rescues-in-tema"/>
    <hyperlink ref="U29" r:id="rId53" display="https://starrfm.com.gh/may-18-floods-most-severe-in-5-years-in-parts-of-ghana-nadmo"/>
    <hyperlink ref="O30" r:id="rId54" display="https://publications.jrc.ec.europa.eu/repository/handle/JRC105688"/>
    <hyperlink ref="O31" r:id="rId55" display="https://www.citinewsroom.com/?p=1369423"/>
    <hyperlink ref="R31" r:id="rId56" display="https://www.etd.ceu.edu/2022/amegayie_amos.pdf"/>
    <hyperlink ref="O32" r:id="rId57" display="https://microdata.worldbank.org/catalog/6444"/>
    <hyperlink ref="R32" r:id="rId58" display="https://gna.org.gh/2024/06/accra-residents-experience-outages-four-times-a-week-iea-survey/"/>
    <hyperlink ref="U32" r:id="rId59" display="https://energyforgrowth.org/article/how-can-small-and-medium-enterprises-cope-with-power-outages"/>
    <hyperlink ref="O33" r:id="rId60" display="https://raw.githubusercontent.com/os-climate/physrisk/main/docs/user_guide/vulnerability/vulnerability_functions/inundation_jrc/raw.csv"/>
    <hyperlink ref="R33" r:id="rId61" display="https://publications.jrc.ec.europa.eu/repository/handle/JRC105688"/>
    <hyperlink ref="O34" r:id="rId62" display="https://www.isd.gov.gh/government-builds-25-solar-boreholes-to-boost-vegetable-production-in-northern-ghana/"/>
    <hyperlink ref="R34" r:id="rId63" display="https://agrilinks.org/post/cocoa-farmers-ghana-show-strong-interest-solar-based-irrigation-pump-costs-are-often-too-high"/>
    <hyperlink ref="O35" r:id="rId64" display="https://core.ac.uk/display/385054"/>
    <hyperlink ref="O37" r:id="rId65" display="https://fsrp.org.gh/blog/From-Dry-Fields-To-Full-Baskets-%28How-Ghana%27s-Tomato-Farmers-Are-Re-writting-The-Dry-Season%29"/>
    <hyperlink ref="R37" r:id="rId66" display="https://borlaug.tamu.edu/wp-content/uploads/sites/3/2019/11/ilssi-technical-report-economic-analayis-ghana.pdf"/>
    <hyperlink ref="O38" r:id="rId67" display="https://globalshea.com/gsamain/storage/img/news/docs/Finance%20Reimagined_%20A%20Replicable%20Model%20For%20Financing%20The%20Shea%20Industry%20(1).pdf"/>
    <hyperlink ref="R38" r:id="rId68" display="https://www.graphic.com.gh/news/general-news/ghanan-news-disbursement-for-shea-collectors-begins-in-bimbilla-275-000-women-to-receive-eur13m-for-2026-season.html"/>
    <hyperlink ref="O39" r:id="rId69" display="https://www.tropentag.de/2016/abstracts/pdf/1029.pdf"/>
    <hyperlink ref="O41" r:id="rId70" display="https://www.beeculture.com/catch-buzz-ghana-wants-piece-global-honey-export-business-intends-fund-growth/"/>
    <hyperlink ref="R41" r:id="rId71" display="https://media.rufford.org/media/project_reports/12807-1%20Final%20Report.pdf"/>
    <hyperlink ref="O42" r:id="rId72" display="https://ir.knust.edu.gh/handle/123456789/8463"/>
    <hyperlink ref="R42" r:id="rId73" display="https://pdf.usaid.gov/pdf_docs/PA00T98B.pdf"/>
    <hyperlink ref="O43" r:id="rId74" display="https://lrrd.org/lrrd25/5/haft25086.htm"/>
    <hyperlink ref="R43" r:id="rId75" display="https://www.fao.org/4/y5110e/y5110e07.htm"/>
    <hyperlink ref="O44" r:id="rId76" display="https://media.rufford.org/media/project_reports/12807-1%20Final%20Report.pdf"/>
    <hyperlink ref="R44" r:id="rId77" display="https://ijsses.tiu.edu.iq/index.php/ijsses/article/view/468"/>
    <hyperlink ref="O45" r:id="rId78" display="https://beesforbabar.org/photos_update_20260705.htm"/>
    <hyperlink ref="O46" r:id="rId79" display="https://doaj.org/article/5092b417b85c425388272fd8bdc264e2"/>
    <hyperlink ref="R46" r:id="rId80" display="https://pollinationecology.org/index.php/jpe/article/download/473/158/1782"/>
    <hyperlink ref="O47" r:id="rId81" display="https://www.darwininitiative.org.uk/documents/DAR30001/27704/30-001%20AR2%20-%20edited.pdf"/>
    <hyperlink ref="O49" r:id="rId82" display="https://m.indiamart.com/impcat/beeswax.html"/>
    <hyperlink ref="R49" r:id="rId83" display="https://fred.stlouisfed.org/series/DEXINUS"/>
    <hyperlink ref="O50" r:id="rId84" display="https://audit.gov.gh/files/audit_reports/Performance_Audit_Report_Of_The_Auditor-General_On_Management_Of_The_Green_Ghana_Project_By_Ministry_Of_Lands_And_Natural_Resources.pdf"/>
    <hyperlink ref="O51" r:id="rId85" display="https://www.crs.org/sites/default/files/2025-04/ReGreening%20Africa%20Case%20Study_final%20%281%29.pdf"/>
    <hyperlink ref="O52" r:id="rId86" display="https://audit.gov.gh/files/audit_reports/Performance_Audit_Report_Of_The_Auditor-General_On_Management_Of_The_Green_Ghana_Project_By_Ministry_Of_Lands_And_Natural_Resources.pdf"/>
    <hyperlink ref="R52" r:id="rId87" display="https://www.graphic.com.gh/daily-graphic-editorials/ghana-news-tree-planting-is-easy-nurturing-is-the-test.html"/>
    <hyperlink ref="O53" r:id="rId88" display="https://www.graphic.com.gh/features/features/bole-crig-develops-short-gestation-shea.html"/>
    <hyperlink ref="R53" r:id="rId89" display="https://www.undp.org/node/416886"/>
    <hyperlink ref="U53" r:id="rId90" display="https://agritrop.cirad.fr/548895"/>
    <hyperlink ref="O54" r:id="rId91" display="https://www.graphic.com.gh/features/features/bole-crig-develops-short-gestation-shea.html"/>
    <hyperlink ref="R54" r:id="rId92" display="https://www.undp.org/node/416886"/>
    <hyperlink ref="U54" r:id="rId93" display="https://agritrop.cirad.fr/548895"/>
    <hyperlink ref="O55" r:id="rId94" display="https://fruits.edpsciences.org/articles/fruits/abs/2004/06/i4039/i4039.html"/>
    <hyperlink ref="R55" r:id="rId95" display="https://kolibri.teacherinabox.org.au/modules/en-practical_action/Crop%20processing/Nut%20Processing%20and%20Oil%20Extraction/KnO-100293_Shea%20nut%20processing.pdf"/>
    <hyperlink ref="O56" r:id="rId96" display="https://ageconsearch.umn.edu/record/368218/files/Mahama4332025AJAEES131074.pdf"/>
    <hyperlink ref="R56" r:id="rId97" display="https://www.graphic.com.gh/news/general-news/ghanan-news-disbursement-for-shea-collectors-begins-in-bimbilla-275-000-women-to-receive-eur13m-for-2026-season.html"/>
    <hyperlink ref="O58" r:id="rId98" display="https://www.gov.uk/research-for-development-outputs/carbon-sequestration-potential-of-parkland-agroforestry-in-the-sahel"/>
    <hyperlink ref="R58" r:id="rId99" display="https://sylvera.com/blog/q3-2025-carbon-data-snapshot"/>
    <hyperlink ref="O59" r:id="rId100" display="https://www.gov.uk/research-for-development-outputs/carbon-sequestration-potential-of-parkland-agroforestry-in-the-sahel"/>
    <hyperlink ref="R59" r:id="rId101" display="https://sylvera.com/blog/q3-2025-carbon-data-snapshot"/>
    <hyperlink ref="O60" r:id="rId102" display="https://doaj.org/article/73e0ffab0b6a4dd882aaedcc6ee0e28b"/>
    <hyperlink ref="R60" r:id="rId103" display="https://independent.academia.edu/DavidADAMON"/>
    <hyperlink ref="U60" r:id="rId104" display="https://pdf.usaid.gov/pdf_docs/PA00TGBJ.pdf"/>
    <hyperlink ref="O61" r:id="rId105" display="https://woodgas.com/wp-content/uploads/2022/08/Small-and-medium-pyrolysis-20-minutes-2022-08-30.pdf"/>
    <hyperlink ref="R61" r:id="rId106" display="https://biochartoday.com/news/a-comparison-of-biochar-kilns-for-low-to-middle-income-countries/"/>
    <hyperlink ref="O62" r:id="rId107" display="https://woodgas.com/wp-content/uploads/2022/08/Small-and-medium-pyrolysis-20-minutes-2022-08-30.pdf"/>
    <hyperlink ref="O63" r:id="rId108" display="https://repository.tudelft.nl/file/File_b7e9c73e-a192-46b1-a108-a7af523df54a?preview=1"/>
    <hyperlink ref="R63" r:id="rId109" display="https://biochartoday.com/news/traditional-kilns-boost-farmer-net-revenue-by-94-with-biochar/"/>
    <hyperlink ref="O64" r:id="rId110" display="https://independent.academia.edu/DavidADAMON"/>
    <hyperlink ref="R64" r:id="rId111" display="https://ghanacic.org/wp-content/uploads/2024/04/ECONOMIC-POTENTIAL-FOR-RESIDUAL-AGRO-AND-BIOMASS-FUELS-IN-GHANA_final.pdf"/>
    <hyperlink ref="O65" r:id="rId112" display="https://carboncredits.com/?p=39628"/>
    <hyperlink ref="R65" r:id="rId113" display="https://www.ieta.org/uploads/wp-content/2026/03/IETA_CMWG_BusinessBrief_Biochar_FinalJune2026.pdf"/>
    <hyperlink ref="U65" r:id="rId114" display="https://www.senken.io/carbon-removal/biochar"/>
    <hyperlink ref="O66" r:id="rId115" display="https://www.european-biochar.org/media/doc/2/artisan-c-sink-guidelines_v1_0.pdf"/>
    <hyperlink ref="R66" r:id="rId116" display="https://www.tropentag.de/2024/abstracts/links/Lartey-Young_d3Kv4wqE.php"/>
    <hyperlink ref="O68" r:id="rId117" display="https://www.globalgiving.org/pfil/39822/projdoc.pdf"/>
    <hyperlink ref="R68" r:id="rId118" display="https://rise.esmap.org/data/files/library/burkina-faso/Clean%20Cooking/Burkina%20Faso_Impact%20assessment%20of%20improved%20cookstoves%20in%20Burkina%20Faso_2013.pdf"/>
    <hyperlink ref="O69" r:id="rId119" display="https://globalshea.com/gsamain/storage/img/news/docs/TOR%20FOR%20SUPPLY%20OF%20ENERGY%20SAVING%20COOKSTOVES.docx.pdf"/>
    <hyperlink ref="R69" r:id="rId120" display="https://www.avsf.org/app/uploads/2023/12/actions-innovantes_equite-_ugf_cnd_avsf_2019.pdf"/>
    <hyperlink ref="O70" r:id="rId121" display="https://techxlab.org/solutions/envirofit-saverpro100-stove/"/>
    <hyperlink ref="O71" r:id="rId122" display="https://files.acquia.undp.org/public/migration/gh/7edf98392d07687a6c332f8836d5f5378bbb4f2ffb5f1443d6ffdfbea6af7c58.pdf"/>
    <hyperlink ref="O74" r:id="rId123" display="https://cpsm.cersgis.org/media/reports/End_of_2023_Charcoal_price_tracking_v2.pdf"/>
    <hyperlink ref="R74" r:id="rId124" display="https://independent.academia.edu/DavidADAMON"/>
    <hyperlink ref="O75" r:id="rId125" display="https://www.msci.com/research-and-insights/quick-take/clean-cooking-dominates-corsia-but-premium-faces-pressure"/>
    <hyperlink ref="R75" r:id="rId126" display="https://icvcm.org/?p=9246"/>
    <hyperlink ref="O76" r:id="rId127" display="https://ijid.kstu.edu.gh/index.php/ijid/article/download/33/29/111"/>
    <hyperlink ref="R76" r:id="rId128" display="https://yen.com.gh/ghana/309707-what-ghc50000-cover-starting-a-building-project-ghana/"/>
    <hyperlink ref="O79" r:id="rId129" display="https://assets.publishing.service.gov.uk/media/6034ee6c8fa8f54334a5a6a9/Cost_estimation_for_SUDS.pdf"/>
    <hyperlink ref="O81" r:id="rId130" display="https://assets.publishing.service.gov.uk/media/68ef85ce2adc28a81b4ad0e9/FloodReadyReport-_an_action_plan_to_build_the_resilience_of_people_and_properties.pdf"/>
    <hyperlink ref="O83" r:id="rId131" display="https://assets.publishing.service.gov.uk/media/6034ee6c8fa8f54334a5a6a9/Cost_estimation_for_SUDS.pdf"/>
    <hyperlink ref="O84" r:id="rId132" display="https://ukgcc.com.gh/wp-content/uploads/2023/03/New-possibilities-for-solar-power-in-Ghana-2.pdf"/>
    <hyperlink ref="R84" r:id="rId133" display="https://www.surgepv.com/blog/solar-incentives-in-ghana"/>
    <hyperlink ref="O85" r:id="rId134" display="https://api.globalsolaratlas.info/data/lta?loc=5.67,0.00"/>
    <hyperlink ref="R85" r:id="rId135" display="https://www.greenbuildingafrica.co.za/cross-boundary-gets-400kw-solar-pv-rooftop-project-over-the-line-in-ghana/"/>
    <hyperlink ref="O86" r:id="rId136" display="https://purc.com.gh/attachment/346541-20260729120703.pdf"/>
    <hyperlink ref="O87" r:id="rId137" display="https://www.myjoyonline.com/fuel-prices-to-rise-from-october-1-diesel-could-hit-gh%C2%A219-60-comac/"/>
    <hyperlink ref="R87" r:id="rId138" display="https://wpowerproducts.com/wp-content/uploads/2022/01/APPROXIMATE-FUEL-CONSUMPTION-CHART-Jan-2022.pdf"/>
    <hyperlink ref="O88" r:id="rId139" display="https://www.energy-storage.news/?p=92133"/>
    <hyperlink ref="O89" r:id="rId140" display="https://ideas.repec.org/a/spr/envsyd/v44y2024i1d10.1007_s10669-023-09925-y.html"/>
    <hyperlink ref="O90" r:id="rId141" display="https://ideas.repec.org/a/spr/envsyd/v44y2024i1d10.1007_s10669-023-09925-y.html"/>
    <hyperlink ref="O91" r:id="rId142" display="https://microdata.worldbank.org/catalog/6444"/>
    <hyperlink ref="O92" r:id="rId143" display="https://renewableenergymagazine.com/pv_solar/daystar-power-expands-to-ghana-20190409"/>
    <hyperlink ref="O94" r:id="rId144" display="https://jiji.com.gh/search?query=50kva%20diesel%20generator"/>
    <hyperlink ref="O95" r:id="rId145" display="https://www.iea.org/policies/5646-net-metering-code"/>
    <hyperlink ref="O96" r:id="rId146" display="https://link.springer.com/article/10.1007/s11746-012-2054-6"/>
    <hyperlink ref="R96" r:id="rId147" display="https://www.tropentag.de/2022/abstracts/posters/179.pdf"/>
    <hyperlink ref="O97" r:id="rId148" display="https://link.springer.com/article/10.1007/s11746-012-2054-6"/>
    <hyperlink ref="R97" r:id="rId149" display="https://www.tropentag.de/2022/abstracts/posters/179.pdf"/>
    <hyperlink ref="O98" r:id="rId150" display="https://m.indiamart.com/impcat/mango-butter.html"/>
    <hyperlink ref="R98" r:id="rId151" display="https://fred.stlouisfed.org/series/DEXINUS"/>
    <hyperlink ref="O99" r:id="rId152" display="https://m.indiamart.com/impcat/mango-kernel.html"/>
    <hyperlink ref="R99" r:id="rId153" display="https://fred.stlouisfed.org/series/DEXINUS"/>
    <hyperlink ref="O102" r:id="rId154" display="https://feedipedia.review.fao.org/node/516"/>
    <hyperlink ref="R102" r:id="rId155" display="https://www.freshplaza.com/article/9744750/ghana-boosts-mango-supply-to-support-processing"/>
    <hyperlink ref="O103" r:id="rId156" display="https://thedocs.worldbank.org/en/doc/74e8be41ceb20fa0da750cda2f6b9e4e-0050012026/related/CMO-Pink-Sheet-September-2026.pdf"/>
    <hyperlink ref="O104" r:id="rId157" display="https://www.ocl-journal.org/articles/ocl/pdf/2009/02/ocl2009162p111.pdf"/>
    <hyperlink ref="O105" r:id="rId158" display="https://www.greenclimate.fund/sites/default/files/document/fp137-interim-evaluation-report-pub.pdf"/>
    <hyperlink ref="R105" r:id="rId159" display="https://www.greenclimate.fund/sites/default/files/documents/2026-10/gcf-fp137-apr-2025-v1.pdf"/>
    <hyperlink ref="O106" r:id="rId160" display="https://www.greenclimate.fund/sites/default/files/documents/2026-10/gcf-fp137-apr-2025-v1.pdf"/>
    <hyperlink ref="O107" r:id="rId161" display="https://www.undp.org/ghana/projects/ghana-shea-landscapes-emission-reductions-project-gslerp"/>
    <hyperlink ref="O108" r:id="rId162" display="https://www.greenclimate.fund/sites/default/files/documents/2026-10/gcf-fp137-apr-2025-v1.pdf"/>
    <hyperlink ref="O109" r:id="rId163" display="https://www.greenclimate.fund/sites/default/files/document/gcf-b26-02-add09.pdf"/>
    <hyperlink ref="O110" r:id="rId164" display="https://www.fao.org/4/X3940E/X3940E04.htm"/>
    <hyperlink ref="O111" r:id="rId165" display="https://graphic.com.gh/business/business-news/insuring-commercial-property-what-is-missing.html"/>
    <hyperlink ref="R111" r:id="rId166" display="https://www.hollard.com.gh/general/business-insurance/commercial-assets-insurance/fire-insurance"/>
    <hyperlink ref="O113" r:id="rId167" display="https://www.lombardins.com/wp-content/uploads/2025/09/Hollard-Business-vs-Lombard-Commercial-Auto-Provisions-and-Excesses-Comparison_FINAL.pdf"/>
    <hyperlink ref="O114" r:id="rId168" display="https://www.lombardins.com/wp-content/uploads/2025/09/Hollard-Business-vs-Lombard-Commercial-Auto-Provisions-and-Excesses-Comparison_FINAL.pdf"/>
    <hyperlink ref="O115" r:id="rId169" display="https://citinewsroom.com/2025/08/insurance-penetration-stalls-at-1-despite-density-gains/"/>
    <hyperlink ref="O116" r:id="rId170" display="https://ukgcc.com.gh/bfd_download/new-changes-from-ghanas-insurance-act-2021-act-1061"/>
    <hyperlink ref="O117" r:id="rId171" display="https://ownkey.com/gh/blog/borehole-drilling-ghana-guide"/>
    <hyperlink ref="O119" r:id="rId172" display="https://www.undp.org/ghana/projects/ghana-shea-landscapes-emission-reductions-project-gslerp"/>
    <hyperlink ref="O120" r:id="rId173" display="https://microdata.worldbank.org/catalog/6444"/>
    <hyperlink ref="R120" r:id="rId174" display="https://energyforgrowth.org/article/how-can-small-and-medium-enterprises-cope-with-power-outages"/>
    <hyperlink ref="O123" r:id="rId175" display="https://microdata.worldbank.org/catalog/6444"/>
    <hyperlink ref="O124" r:id="rId176" display="https://www.energy-storage.news/?p=92133"/>
    <hyperlink ref="O128" r:id="rId177" display="https://fred.stlouisfed.org/series/DEXUSEU"/>
    <hyperlink ref="O129" r:id="rId178" display="https://fred.stlouisfed.org/series/DEXINUS"/>
    <hyperlink ref="O145" r:id="rId179" display="https://hts.usitc.gov/reststop/search?keyword=3304.99.50"/>
    <hyperlink ref="O146" r:id="rId180" display="https://en.wikipedia.org/wiki/Tariffs_in_the_second_Trump_administration"/>
    <hyperlink ref="R146" r:id="rId181" display="https://en.wikipedia.org/wiki/African_Growth_and_Opportunity_Act"/>
    <hyperlink ref="O148" r:id="rId182" display="https://sell.amazon.com/programs/warehousing"/>
    <hyperlink ref="O152" r:id="rId183" display="https://sell.amazon.com/programs/warehousing"/>
    <hyperlink ref="O153" r:id="rId184" display="https://sell.amazon.com/programs/warehousing"/>
    <hyperlink ref="O154" r:id="rId185" display="https://sell.amazon.com/fulfillment-by-amazon"/>
    <hyperlink ref="O156" r:id="rId186" display="https://sell.amazon.com/pricing"/>
    <hyperlink ref="O163" r:id="rId187" display="https://sell.amazon.com/pricing"/>
    <hyperlink ref="O164" r:id="rId188" display="https://doaj.org/article/73e0ffab0b6a4dd882aaedcc6ee0e28b"/>
    <hyperlink ref="O166" r:id="rId189" display="https://www.tridge.com/market-overview/refined-shea-butter"/>
    <hyperlink ref="O177" r:id="rId190" display="https://doaj.org/article/5092b417b85c425388272fd8bdc264e2"/>
    <hyperlink ref="O178" r:id="rId191" display="https://doaj.org/article/5092b417b85c425388272fd8bdc264e2"/>
    <hyperlink ref="O179" r:id="rId192" display="https://beesforbabar.org/photos_update_20260705.htm"/>
    <hyperlink ref="O181" r:id="rId193" display="https://globalshea.com/gsamain/storage/img/news/docs/TOR%20FOR%20SUPPLY%20OF%20ENERGY%20SAVING%20COOKSTOVES.docx.pdf"/>
    <hyperlink ref="O182" r:id="rId194" display="https://agrilinks.org/post/cocoa-farmers-ghana-show-strong-interest-solar-based-irrigation-pump-costs-are-often-too-high"/>
    <hyperlink ref="O184" r:id="rId195" display="https://www.tropentag.de/2024/abstracts/links/Lartey-Young_d3Kv4wqE.php"/>
    <hyperlink ref="O190" r:id="rId196" display="https://globalshea.com/gsamain/storage/img/news/docs/TOR%20FOR%20SUPPLY%20OF%20ENERGY%20SAVING%20COOKSTOVES.docx.pdf"/>
    <hyperlink ref="O192" r:id="rId197" display="https://sell.amazon.com/pric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98"/>
  <legacyDrawing r:id="rId19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3" min="2" style="1" width="20"/>
  </cols>
  <sheetData>
    <row r="1" customFormat="false" ht="17.25" hidden="false" customHeight="true" outlineLevel="0" collapsed="false">
      <c r="A1" s="5" t="s">
        <v>1184</v>
      </c>
    </row>
    <row r="2" customFormat="false" ht="15" hidden="false" customHeight="true" outlineLevel="0" collapsed="false">
      <c r="A2" s="6" t="s">
        <v>1185</v>
      </c>
    </row>
    <row r="4" customFormat="false" ht="15" hidden="false" customHeight="true" outlineLevel="0" collapsed="false">
      <c r="A4" s="7" t="s">
        <v>1186</v>
      </c>
      <c r="B4" s="7" t="s">
        <v>1187</v>
      </c>
      <c r="C4" s="7" t="s">
        <v>1188</v>
      </c>
    </row>
    <row r="5" customFormat="false" ht="15" hidden="false" customHeight="true" outlineLevel="0" collapsed="false">
      <c r="A5" s="31" t="n">
        <v>0</v>
      </c>
      <c r="B5" s="32" t="n">
        <v>0</v>
      </c>
      <c r="C5" s="32" t="n">
        <v>0</v>
      </c>
    </row>
    <row r="6" customFormat="false" ht="15" hidden="false" customHeight="true" outlineLevel="0" collapsed="false">
      <c r="A6" s="31" t="n">
        <v>0.5</v>
      </c>
      <c r="B6" s="32" t="n">
        <v>0.0627</v>
      </c>
      <c r="C6" s="32" t="n">
        <v>0.297</v>
      </c>
    </row>
    <row r="7" customFormat="false" ht="15" hidden="false" customHeight="true" outlineLevel="0" collapsed="false">
      <c r="A7" s="31" t="n">
        <v>1</v>
      </c>
      <c r="B7" s="32" t="n">
        <v>0.2472</v>
      </c>
      <c r="C7" s="32" t="n">
        <v>0.48</v>
      </c>
    </row>
    <row r="8" customFormat="false" ht="15" hidden="false" customHeight="true" outlineLevel="0" collapsed="false">
      <c r="A8" s="31" t="n">
        <v>1.5</v>
      </c>
      <c r="B8" s="32" t="n">
        <v>0.4033</v>
      </c>
      <c r="C8" s="32" t="n">
        <v>0.603</v>
      </c>
    </row>
    <row r="9" customFormat="false" ht="15" hidden="false" customHeight="true" outlineLevel="0" collapsed="false">
      <c r="A9" s="31" t="n">
        <v>2</v>
      </c>
      <c r="B9" s="32" t="n">
        <v>0.4945</v>
      </c>
      <c r="C9" s="32" t="n">
        <v>0.694</v>
      </c>
    </row>
    <row r="10" customFormat="false" ht="15" hidden="false" customHeight="true" outlineLevel="0" collapsed="false">
      <c r="A10" s="31" t="n">
        <v>3</v>
      </c>
      <c r="B10" s="32" t="n">
        <v>0.6847</v>
      </c>
      <c r="C10" s="32" t="n">
        <v>0.82</v>
      </c>
    </row>
    <row r="12" customFormat="false" ht="15" hidden="false" customHeight="true" outlineLevel="0" collapsed="false">
      <c r="A12" s="33" t="s">
        <v>1189</v>
      </c>
    </row>
    <row r="13" customFormat="false" ht="15" hidden="false" customHeight="true" outlineLevel="0" collapsed="false">
      <c r="A13" s="33" t="s">
        <v>284</v>
      </c>
    </row>
    <row r="15" customFormat="false" ht="15" hidden="false" customHeight="true" outlineLevel="0" collapsed="false">
      <c r="A15" s="3" t="s">
        <v>1190</v>
      </c>
    </row>
    <row r="16" customFormat="false" ht="15" hidden="false" customHeight="true" outlineLevel="0" collapsed="false">
      <c r="A16" s="7" t="s">
        <v>27</v>
      </c>
      <c r="B16" s="7" t="s">
        <v>1191</v>
      </c>
      <c r="C16" s="7" t="s">
        <v>30</v>
      </c>
      <c r="D16" s="7" t="s">
        <v>1192</v>
      </c>
    </row>
    <row r="17" customFormat="false" ht="15" hidden="false" customHeight="true" outlineLevel="0" collapsed="false">
      <c r="A17" s="34" t="str">
        <f aca="false">Inputs!A25&amp;" "&amp;Inputs!C25</f>
        <v>H01 Probability of a poor shea year</v>
      </c>
      <c r="B17" s="35" t="n">
        <f aca="false">Inputs!E25</f>
        <v>0.15</v>
      </c>
      <c r="C17" s="35" t="n">
        <f aca="false">Inputs!F25</f>
        <v>0.3</v>
      </c>
      <c r="D17" s="35" t="n">
        <f aca="false">Inputs!G25</f>
        <v>0.5</v>
      </c>
    </row>
    <row r="18" customFormat="false" ht="15" hidden="false" customHeight="true" outlineLevel="0" collapsed="false">
      <c r="A18" s="34" t="str">
        <f aca="false">Inputs!A26&amp;" "&amp;Inputs!C26</f>
        <v>H02 Shortfall in a poor year</v>
      </c>
      <c r="B18" s="36" t="n">
        <f aca="false">Inputs!E26</f>
        <v>0.2</v>
      </c>
      <c r="C18" s="36" t="n">
        <f aca="false">Inputs!F26</f>
        <v>0.3</v>
      </c>
      <c r="D18" s="36" t="n">
        <f aca="false">Inputs!G26</f>
        <v>0.5</v>
      </c>
    </row>
    <row r="19" customFormat="false" ht="15" hidden="false" customHeight="true" outlineLevel="0" collapsed="false">
      <c r="A19" s="34" t="str">
        <f aca="false">Inputs!A28&amp;" "&amp;Inputs!C28</f>
        <v>H04 Structural tree-loss decline</v>
      </c>
      <c r="B19" s="36" t="n">
        <f aca="false">Inputs!E28</f>
        <v>0.005</v>
      </c>
      <c r="C19" s="36" t="n">
        <f aca="false">Inputs!F28</f>
        <v>0.015</v>
      </c>
      <c r="D19" s="36" t="n">
        <f aca="false">Inputs!G28</f>
        <v>0.025</v>
      </c>
    </row>
    <row r="20" customFormat="false" ht="15" hidden="false" customHeight="true" outlineLevel="0" collapsed="false">
      <c r="A20" s="34" t="str">
        <f aca="false">Inputs!A29&amp;" "&amp;Inputs!C29</f>
        <v>H05 Probability the Tema site floods</v>
      </c>
      <c r="B20" s="35" t="n">
        <f aca="false">Inputs!E29</f>
        <v>0.05</v>
      </c>
      <c r="C20" s="35" t="n">
        <f aca="false">Inputs!F29</f>
        <v>0.1</v>
      </c>
      <c r="D20" s="35" t="n">
        <f aca="false">Inputs!G29</f>
        <v>0.25</v>
      </c>
    </row>
    <row r="21" customFormat="false" ht="15" hidden="false" customHeight="true" outlineLevel="0" collapsed="false">
      <c r="A21" s="34" t="str">
        <f aca="false">Inputs!A30&amp;" "&amp;Inputs!C30</f>
        <v>H06 Flood depth without measures</v>
      </c>
      <c r="B21" s="35" t="n">
        <f aca="false">Inputs!E30</f>
        <v>0.3</v>
      </c>
      <c r="C21" s="35" t="n">
        <f aca="false">Inputs!F30</f>
        <v>0.5</v>
      </c>
      <c r="D21" s="35" t="n">
        <f aca="false">Inputs!G30</f>
        <v>1</v>
      </c>
    </row>
    <row r="22" customFormat="false" ht="15" hidden="false" customHeight="true" outlineLevel="0" collapsed="false">
      <c r="A22" s="34" t="str">
        <f aca="false">Inputs!A32&amp;" "&amp;Inputs!C32</f>
        <v>H08 Grid outage hours</v>
      </c>
      <c r="B22" s="37" t="n">
        <f aca="false">Inputs!E32</f>
        <v>50</v>
      </c>
      <c r="C22" s="37" t="n">
        <f aca="false">Inputs!F32</f>
        <v>250</v>
      </c>
      <c r="D22" s="37" t="n">
        <f aca="false">Inputs!G32</f>
        <v>1100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4" min="3" style="1" width="12"/>
    <col collapsed="false" customWidth="true" hidden="false" outlineLevel="0" max="6" min="5" style="1" width="14"/>
    <col collapsed="false" customWidth="true" hidden="false" outlineLevel="0" max="7" min="7" style="1" width="26"/>
    <col collapsed="false" customWidth="true" hidden="false" outlineLevel="0" max="8" min="8" style="1" width="4"/>
  </cols>
  <sheetData>
    <row r="1" customFormat="false" ht="17.25" hidden="false" customHeight="true" outlineLevel="0" collapsed="false">
      <c r="A1" s="5" t="s">
        <v>1193</v>
      </c>
    </row>
    <row r="2" customFormat="false" ht="15" hidden="false" customHeight="true" outlineLevel="0" collapsed="false">
      <c r="A2" s="6" t="s">
        <v>1194</v>
      </c>
    </row>
    <row r="4" customFormat="false" ht="15" hidden="false" customHeight="true" outlineLevel="0" collapsed="false">
      <c r="A4" s="3" t="s">
        <v>1195</v>
      </c>
      <c r="B4" s="38" t="n">
        <f aca="false">in_V02/1000*in_V03/(1-in_V04)</f>
        <v>0.169042553191489</v>
      </c>
      <c r="J4" s="33" t="s">
        <v>1196</v>
      </c>
      <c r="K4" s="33" t="s">
        <v>1197</v>
      </c>
      <c r="L4" s="33" t="s">
        <v>1198</v>
      </c>
    </row>
    <row r="5" customFormat="false" ht="15" hidden="false" customHeight="true" outlineLevel="0" collapsed="false">
      <c r="A5" s="3" t="s">
        <v>1199</v>
      </c>
      <c r="B5" s="39" t="n">
        <f aca="false">in_C01*1000*in_C12/c_crude_kg</f>
        <v>354940.213971051</v>
      </c>
      <c r="J5" s="33" t="s">
        <v>1200</v>
      </c>
      <c r="K5" s="40" t="n">
        <f aca="false">E29</f>
        <v>4.02641082745098</v>
      </c>
      <c r="L5" s="40" t="n">
        <f aca="false">F29</f>
        <v>10.963589172549</v>
      </c>
    </row>
    <row r="6" customFormat="false" ht="15" hidden="false" customHeight="true" outlineLevel="0" collapsed="false">
      <c r="A6" s="3" t="s">
        <v>1201</v>
      </c>
      <c r="B6" s="39" t="n">
        <f aca="false">c_units*in_G05</f>
        <v>301699.181875393</v>
      </c>
      <c r="J6" s="33" t="s">
        <v>1202</v>
      </c>
      <c r="K6" s="40" t="n">
        <f aca="false">E42</f>
        <v>5.37</v>
      </c>
      <c r="L6" s="40" t="n">
        <f aca="false">F42</f>
        <v>0.63</v>
      </c>
    </row>
    <row r="7" customFormat="false" ht="15" hidden="false" customHeight="true" outlineLevel="0" collapsed="false">
      <c r="A7" s="3" t="s">
        <v>1203</v>
      </c>
      <c r="B7" s="41" t="n">
        <f aca="false">SUM(B11:B15)</f>
        <v>2.02331914893617</v>
      </c>
    </row>
    <row r="10" customFormat="false" ht="26.25" hidden="false" customHeight="true" outlineLevel="0" collapsed="false">
      <c r="A10" s="7" t="s">
        <v>1204</v>
      </c>
      <c r="B10" s="7" t="s">
        <v>1205</v>
      </c>
      <c r="C10" s="7" t="s">
        <v>1060</v>
      </c>
      <c r="D10" s="7" t="s">
        <v>1206</v>
      </c>
      <c r="E10" s="7" t="s">
        <v>1197</v>
      </c>
      <c r="F10" s="7" t="s">
        <v>1198</v>
      </c>
      <c r="G10" s="7" t="s">
        <v>1207</v>
      </c>
    </row>
    <row r="11" customFormat="false" ht="15" hidden="false" customHeight="true" outlineLevel="0" collapsed="false">
      <c r="A11" s="33" t="s">
        <v>1208</v>
      </c>
      <c r="B11" s="40" t="n">
        <f aca="false">c_crude_kg*in_C02</f>
        <v>0.47331914893617</v>
      </c>
      <c r="C11" s="42" t="n">
        <f aca="false">B11/in_V01</f>
        <v>0.0315756603693242</v>
      </c>
      <c r="D11" s="32" t="n">
        <v>1</v>
      </c>
      <c r="E11" s="40" t="n">
        <f aca="false">B11*D11</f>
        <v>0.47331914893617</v>
      </c>
      <c r="F11" s="40" t="n">
        <f aca="false">B11-E11</f>
        <v>0</v>
      </c>
      <c r="G11" s="33" t="s">
        <v>1209</v>
      </c>
    </row>
    <row r="12" customFormat="false" ht="15" hidden="false" customHeight="true" outlineLevel="0" collapsed="false">
      <c r="A12" s="33" t="s">
        <v>1210</v>
      </c>
      <c r="B12" s="40" t="n">
        <f aca="false">in_V05</f>
        <v>0.3</v>
      </c>
      <c r="C12" s="42" t="n">
        <f aca="false">B12/in_V01</f>
        <v>0.0200133422281521</v>
      </c>
      <c r="D12" s="42" t="n">
        <f aca="false">1-in_V06</f>
        <v>0.3</v>
      </c>
      <c r="E12" s="40" t="n">
        <f aca="false">B12*D12</f>
        <v>0.09</v>
      </c>
      <c r="F12" s="40" t="n">
        <f aca="false">B12-E12</f>
        <v>0.21</v>
      </c>
      <c r="G12" s="33" t="s">
        <v>1211</v>
      </c>
    </row>
    <row r="13" customFormat="false" ht="15" hidden="false" customHeight="true" outlineLevel="0" collapsed="false">
      <c r="A13" s="33" t="s">
        <v>1212</v>
      </c>
      <c r="B13" s="40" t="n">
        <f aca="false">in_V07</f>
        <v>0.7</v>
      </c>
      <c r="C13" s="42" t="n">
        <f aca="false">B13/in_V01</f>
        <v>0.0466977985323549</v>
      </c>
      <c r="D13" s="42" t="n">
        <f aca="false">1-in_V08</f>
        <v>0.4</v>
      </c>
      <c r="E13" s="40" t="n">
        <f aca="false">B13*D13</f>
        <v>0.28</v>
      </c>
      <c r="F13" s="40" t="n">
        <f aca="false">B13-E13</f>
        <v>0.42</v>
      </c>
      <c r="G13" s="33" t="s">
        <v>1213</v>
      </c>
    </row>
    <row r="14" customFormat="false" ht="15" hidden="false" customHeight="true" outlineLevel="0" collapsed="false">
      <c r="A14" s="33" t="s">
        <v>1214</v>
      </c>
      <c r="B14" s="40" t="n">
        <f aca="false">in_V09</f>
        <v>0.5</v>
      </c>
      <c r="C14" s="42" t="n">
        <f aca="false">B14/in_V01</f>
        <v>0.0333555703802535</v>
      </c>
      <c r="D14" s="32" t="n">
        <v>1</v>
      </c>
      <c r="E14" s="40" t="n">
        <f aca="false">B14*D14</f>
        <v>0.5</v>
      </c>
      <c r="F14" s="40" t="n">
        <f aca="false">B14-E14</f>
        <v>0</v>
      </c>
      <c r="G14" s="33" t="s">
        <v>983</v>
      </c>
    </row>
    <row r="15" customFormat="false" ht="15" hidden="false" customHeight="true" outlineLevel="0" collapsed="false">
      <c r="A15" s="33" t="s">
        <v>1215</v>
      </c>
      <c r="B15" s="40" t="n">
        <f aca="false">in_V10</f>
        <v>0.05</v>
      </c>
      <c r="C15" s="42" t="n">
        <f aca="false">B15/in_V01</f>
        <v>0.00333555703802535</v>
      </c>
      <c r="D15" s="32" t="n">
        <v>1</v>
      </c>
      <c r="E15" s="40" t="n">
        <f aca="false">B15*D15</f>
        <v>0.05</v>
      </c>
      <c r="F15" s="40" t="n">
        <f aca="false">B15-E15</f>
        <v>0</v>
      </c>
      <c r="G15" s="33" t="s">
        <v>986</v>
      </c>
    </row>
    <row r="16" customFormat="false" ht="15" hidden="false" customHeight="true" outlineLevel="0" collapsed="false">
      <c r="A16" s="33" t="s">
        <v>1216</v>
      </c>
      <c r="B16" s="40" t="n">
        <f aca="false">in_V12/in_V11</f>
        <v>0.1375</v>
      </c>
      <c r="C16" s="42" t="n">
        <f aca="false">B16/in_V01</f>
        <v>0.00917278185456971</v>
      </c>
      <c r="D16" s="32" t="n">
        <v>0</v>
      </c>
      <c r="E16" s="40" t="n">
        <f aca="false">B16*D16</f>
        <v>0</v>
      </c>
      <c r="F16" s="40" t="n">
        <f aca="false">B16-E16</f>
        <v>0.1375</v>
      </c>
      <c r="G16" s="33" t="s">
        <v>1217</v>
      </c>
    </row>
    <row r="17" customFormat="false" ht="15" hidden="false" customHeight="true" outlineLevel="0" collapsed="false">
      <c r="A17" s="33" t="s">
        <v>1218</v>
      </c>
      <c r="B17" s="40" t="n">
        <f aca="false">(in_V13+in_V14)*c_fob</f>
        <v>0.202331914893617</v>
      </c>
      <c r="C17" s="42" t="n">
        <f aca="false">B17/in_V01</f>
        <v>0.013497792854811</v>
      </c>
      <c r="D17" s="32" t="n">
        <v>0</v>
      </c>
      <c r="E17" s="40" t="n">
        <f aca="false">B17*D17</f>
        <v>0</v>
      </c>
      <c r="F17" s="40" t="n">
        <f aca="false">B17-E17</f>
        <v>0.202331914893617</v>
      </c>
      <c r="G17" s="33" t="s">
        <v>1219</v>
      </c>
    </row>
    <row r="18" customFormat="false" ht="15" hidden="false" customHeight="true" outlineLevel="0" collapsed="false">
      <c r="A18" s="33" t="s">
        <v>1220</v>
      </c>
      <c r="B18" s="40" t="n">
        <f aca="false">in_V15</f>
        <v>0.1</v>
      </c>
      <c r="C18" s="42" t="n">
        <f aca="false">B18/in_V01</f>
        <v>0.0066711140760507</v>
      </c>
      <c r="D18" s="32" t="n">
        <v>0</v>
      </c>
      <c r="E18" s="40" t="n">
        <f aca="false">B18*D18</f>
        <v>0</v>
      </c>
      <c r="F18" s="40" t="n">
        <f aca="false">B18-E18</f>
        <v>0.1</v>
      </c>
      <c r="G18" s="33" t="s">
        <v>1012</v>
      </c>
    </row>
    <row r="19" customFormat="false" ht="15" hidden="false" customHeight="true" outlineLevel="0" collapsed="false">
      <c r="A19" s="33" t="s">
        <v>1221</v>
      </c>
      <c r="B19" s="40" t="n">
        <f aca="false">in_V16*in_V18*in_V17</f>
        <v>0.024</v>
      </c>
      <c r="C19" s="42" t="n">
        <f aca="false">B19/in_V01</f>
        <v>0.00160106737825217</v>
      </c>
      <c r="D19" s="32" t="n">
        <v>0</v>
      </c>
      <c r="E19" s="40" t="n">
        <f aca="false">B19*D19</f>
        <v>0</v>
      </c>
      <c r="F19" s="40" t="n">
        <f aca="false">B19-E19</f>
        <v>0.024</v>
      </c>
      <c r="G19" s="33" t="s">
        <v>1222</v>
      </c>
    </row>
    <row r="20" customFormat="false" ht="15" hidden="false" customHeight="true" outlineLevel="0" collapsed="false">
      <c r="A20" s="33" t="s">
        <v>1223</v>
      </c>
      <c r="B20" s="40" t="n">
        <f aca="false">in_V20/in_V19</f>
        <v>0.116666666666667</v>
      </c>
      <c r="C20" s="42" t="n">
        <f aca="false">B20/in_V01</f>
        <v>0.00778296642205915</v>
      </c>
      <c r="D20" s="32" t="n">
        <v>0</v>
      </c>
      <c r="E20" s="40" t="n">
        <f aca="false">B20*D20</f>
        <v>0</v>
      </c>
      <c r="F20" s="40" t="n">
        <f aca="false">B20-E20</f>
        <v>0.116666666666667</v>
      </c>
      <c r="G20" s="33" t="s">
        <v>1224</v>
      </c>
    </row>
    <row r="21" customFormat="false" ht="15" hidden="false" customHeight="true" outlineLevel="0" collapsed="false">
      <c r="A21" s="33" t="s">
        <v>1225</v>
      </c>
      <c r="B21" s="40" t="n">
        <f aca="false">in_V21*in_V18</f>
        <v>0.035</v>
      </c>
      <c r="C21" s="42" t="n">
        <f aca="false">B21/in_V01</f>
        <v>0.00233488992661775</v>
      </c>
      <c r="D21" s="32" t="n">
        <v>0</v>
      </c>
      <c r="E21" s="40" t="n">
        <f aca="false">B21*D21</f>
        <v>0</v>
      </c>
      <c r="F21" s="40" t="n">
        <f aca="false">B21-E21</f>
        <v>0.035</v>
      </c>
      <c r="G21" s="33" t="s">
        <v>1226</v>
      </c>
    </row>
    <row r="22" customFormat="false" ht="15" hidden="false" customHeight="true" outlineLevel="0" collapsed="false">
      <c r="A22" s="33" t="s">
        <v>1227</v>
      </c>
      <c r="B22" s="40" t="n">
        <f aca="false">in_V22</f>
        <v>5.2</v>
      </c>
      <c r="C22" s="42" t="n">
        <f aca="false">B22/in_V01</f>
        <v>0.346897931954636</v>
      </c>
      <c r="D22" s="32" t="n">
        <v>0</v>
      </c>
      <c r="E22" s="40" t="n">
        <f aca="false">B22*D22</f>
        <v>0</v>
      </c>
      <c r="F22" s="40" t="n">
        <f aca="false">B22-E22</f>
        <v>5.2</v>
      </c>
      <c r="G22" s="33" t="s">
        <v>1043</v>
      </c>
    </row>
    <row r="23" customFormat="false" ht="15" hidden="false" customHeight="true" outlineLevel="0" collapsed="false">
      <c r="A23" s="33" t="s">
        <v>1228</v>
      </c>
      <c r="B23" s="40" t="n">
        <f aca="false">in_V23*in_V18</f>
        <v>0.0195</v>
      </c>
      <c r="C23" s="42" t="n">
        <f aca="false">B23/in_V01</f>
        <v>0.00130086724482989</v>
      </c>
      <c r="D23" s="32" t="n">
        <v>0</v>
      </c>
      <c r="E23" s="40" t="n">
        <f aca="false">B23*D23</f>
        <v>0</v>
      </c>
      <c r="F23" s="40" t="n">
        <f aca="false">B23-E23</f>
        <v>0.0195</v>
      </c>
      <c r="G23" s="33" t="s">
        <v>1229</v>
      </c>
    </row>
    <row r="24" customFormat="false" ht="15" hidden="false" customHeight="true" outlineLevel="0" collapsed="false">
      <c r="A24" s="33" t="s">
        <v>1230</v>
      </c>
      <c r="B24" s="40" t="n">
        <f aca="false">IF(in_V01&lt;=10,in_V32,in_V24)*in_V01</f>
        <v>2.2485</v>
      </c>
      <c r="C24" s="42" t="n">
        <f aca="false">B24/in_V01</f>
        <v>0.15</v>
      </c>
      <c r="D24" s="32" t="n">
        <v>0</v>
      </c>
      <c r="E24" s="40" t="n">
        <f aca="false">B24*D24</f>
        <v>0</v>
      </c>
      <c r="F24" s="40" t="n">
        <f aca="false">B24-E24</f>
        <v>2.2485</v>
      </c>
      <c r="G24" s="33" t="s">
        <v>1231</v>
      </c>
    </row>
    <row r="25" customFormat="false" ht="15" hidden="false" customHeight="true" outlineLevel="0" collapsed="false">
      <c r="A25" s="33" t="s">
        <v>1059</v>
      </c>
      <c r="B25" s="40" t="n">
        <f aca="false">in_V25*in_V01</f>
        <v>1.7988</v>
      </c>
      <c r="C25" s="42" t="n">
        <f aca="false">B25/in_V01</f>
        <v>0.12</v>
      </c>
      <c r="D25" s="32" t="n">
        <v>0</v>
      </c>
      <c r="E25" s="40" t="n">
        <f aca="false">B25*D25</f>
        <v>0</v>
      </c>
      <c r="F25" s="40" t="n">
        <f aca="false">B25-E25</f>
        <v>1.7988</v>
      </c>
      <c r="G25" s="33" t="s">
        <v>1058</v>
      </c>
    </row>
    <row r="26" customFormat="false" ht="15" hidden="false" customHeight="true" outlineLevel="0" collapsed="false">
      <c r="A26" s="33" t="s">
        <v>1063</v>
      </c>
      <c r="B26" s="40" t="n">
        <f aca="false">in_V26*in_V01</f>
        <v>0.4497</v>
      </c>
      <c r="C26" s="42" t="n">
        <f aca="false">B26/in_V01</f>
        <v>0.03</v>
      </c>
      <c r="D26" s="32" t="n">
        <v>0</v>
      </c>
      <c r="E26" s="40" t="n">
        <f aca="false">B26*D26</f>
        <v>0</v>
      </c>
      <c r="F26" s="40" t="n">
        <f aca="false">B26-E26</f>
        <v>0.4497</v>
      </c>
      <c r="G26" s="33" t="s">
        <v>1062</v>
      </c>
    </row>
    <row r="27" customFormat="false" ht="15" hidden="false" customHeight="true" outlineLevel="0" collapsed="false">
      <c r="A27" s="33" t="s">
        <v>1078</v>
      </c>
      <c r="B27" s="40" t="n">
        <f aca="false">IF(c_units_amz&gt;0,in_V31*12/c_units_amz,0)</f>
        <v>0.00159059098873592</v>
      </c>
      <c r="C27" s="42" t="n">
        <f aca="false">B27/in_V01</f>
        <v>0.000106110139341956</v>
      </c>
      <c r="D27" s="32" t="n">
        <v>0</v>
      </c>
      <c r="E27" s="40" t="n">
        <f aca="false">B27*D27</f>
        <v>0</v>
      </c>
      <c r="F27" s="40" t="n">
        <f aca="false">B27-E27</f>
        <v>0.00159059098873592</v>
      </c>
      <c r="G27" s="33" t="s">
        <v>1077</v>
      </c>
    </row>
    <row r="28" customFormat="false" ht="15" hidden="false" customHeight="true" outlineLevel="0" collapsed="false">
      <c r="A28" s="3" t="s">
        <v>1232</v>
      </c>
      <c r="B28" s="40" t="n">
        <f aca="false">in_V01-SUM(B11:B27)</f>
        <v>2.63309167851481</v>
      </c>
      <c r="C28" s="42" t="n">
        <f aca="false">B28/in_V01</f>
        <v>0.175656549600721</v>
      </c>
      <c r="D28" s="32" t="n">
        <v>1</v>
      </c>
      <c r="E28" s="40" t="n">
        <f aca="false">B28*D28</f>
        <v>2.63309167851481</v>
      </c>
      <c r="F28" s="40" t="n">
        <f aca="false">B28-E28</f>
        <v>0</v>
      </c>
      <c r="G28" s="33" t="s">
        <v>1233</v>
      </c>
    </row>
    <row r="29" customFormat="false" ht="15" hidden="false" customHeight="true" outlineLevel="0" collapsed="false">
      <c r="A29" s="3" t="s">
        <v>1234</v>
      </c>
      <c r="B29" s="43" t="n">
        <f aca="false">SUM(B11:B28)</f>
        <v>14.99</v>
      </c>
      <c r="C29" s="44" t="n">
        <f aca="false">SUM(C11:C28)</f>
        <v>1</v>
      </c>
      <c r="E29" s="43" t="n">
        <f aca="false">SUM(E11:E28)</f>
        <v>4.02641082745098</v>
      </c>
      <c r="F29" s="43" t="n">
        <f aca="false">SUM(F11:F28)</f>
        <v>10.963589172549</v>
      </c>
    </row>
    <row r="30" customFormat="false" ht="15" hidden="false" customHeight="true" outlineLevel="0" collapsed="false">
      <c r="A30" s="3" t="s">
        <v>1235</v>
      </c>
      <c r="E30" s="45" t="n">
        <f aca="false">E29/B29</f>
        <v>0.268606459469712</v>
      </c>
    </row>
    <row r="31" customFormat="false" ht="15" hidden="false" customHeight="true" outlineLevel="0" collapsed="false">
      <c r="A31" s="3" t="s">
        <v>1236</v>
      </c>
      <c r="E31" s="42" t="n">
        <f aca="false">(SUM(B19:B25)+B27)/B29</f>
        <v>0.630023833065737</v>
      </c>
    </row>
    <row r="33" customFormat="false" ht="26.25" hidden="false" customHeight="true" outlineLevel="0" collapsed="false">
      <c r="A33" s="7" t="s">
        <v>1237</v>
      </c>
      <c r="B33" s="7" t="s">
        <v>1205</v>
      </c>
      <c r="C33" s="7" t="s">
        <v>1060</v>
      </c>
      <c r="D33" s="7" t="s">
        <v>1206</v>
      </c>
      <c r="E33" s="7" t="s">
        <v>1197</v>
      </c>
      <c r="F33" s="7" t="s">
        <v>1198</v>
      </c>
      <c r="G33" s="7" t="s">
        <v>1207</v>
      </c>
    </row>
    <row r="34" customFormat="false" ht="15" hidden="false" customHeight="true" outlineLevel="0" collapsed="false">
      <c r="A34" s="33" t="s">
        <v>1208</v>
      </c>
      <c r="B34" s="40" t="n">
        <f aca="false">c_crude_kg*in_C02</f>
        <v>0.47331914893617</v>
      </c>
      <c r="C34" s="42" t="n">
        <f aca="false">B34/in_V27</f>
        <v>0.078886524822695</v>
      </c>
      <c r="D34" s="32" t="n">
        <v>1</v>
      </c>
      <c r="E34" s="40" t="n">
        <f aca="false">B34*D34</f>
        <v>0.47331914893617</v>
      </c>
      <c r="F34" s="40" t="n">
        <f aca="false">B34-E34</f>
        <v>0</v>
      </c>
      <c r="G34" s="33" t="s">
        <v>1209</v>
      </c>
    </row>
    <row r="35" customFormat="false" ht="15" hidden="false" customHeight="true" outlineLevel="0" collapsed="false">
      <c r="A35" s="33" t="s">
        <v>1210</v>
      </c>
      <c r="B35" s="40" t="n">
        <f aca="false">in_V05</f>
        <v>0.3</v>
      </c>
      <c r="C35" s="42" t="n">
        <f aca="false">B35/in_V27</f>
        <v>0.05</v>
      </c>
      <c r="D35" s="42" t="n">
        <f aca="false">1-in_V06</f>
        <v>0.3</v>
      </c>
      <c r="E35" s="40" t="n">
        <f aca="false">B35*D35</f>
        <v>0.09</v>
      </c>
      <c r="F35" s="40" t="n">
        <f aca="false">B35-E35</f>
        <v>0.21</v>
      </c>
      <c r="G35" s="33" t="s">
        <v>1211</v>
      </c>
    </row>
    <row r="36" customFormat="false" ht="15" hidden="false" customHeight="true" outlineLevel="0" collapsed="false">
      <c r="A36" s="33" t="s">
        <v>1212</v>
      </c>
      <c r="B36" s="40" t="n">
        <f aca="false">in_V07</f>
        <v>0.7</v>
      </c>
      <c r="C36" s="42" t="n">
        <f aca="false">B36/in_V27</f>
        <v>0.116666666666667</v>
      </c>
      <c r="D36" s="42" t="n">
        <f aca="false">1-in_V08</f>
        <v>0.4</v>
      </c>
      <c r="E36" s="40" t="n">
        <f aca="false">B36*D36</f>
        <v>0.28</v>
      </c>
      <c r="F36" s="40" t="n">
        <f aca="false">B36-E36</f>
        <v>0.42</v>
      </c>
      <c r="G36" s="33" t="s">
        <v>1213</v>
      </c>
    </row>
    <row r="37" customFormat="false" ht="15" hidden="false" customHeight="true" outlineLevel="0" collapsed="false">
      <c r="A37" s="33" t="s">
        <v>1214</v>
      </c>
      <c r="B37" s="40" t="n">
        <f aca="false">in_V09</f>
        <v>0.5</v>
      </c>
      <c r="C37" s="42" t="n">
        <f aca="false">B37/in_V27</f>
        <v>0.0833333333333333</v>
      </c>
      <c r="D37" s="32" t="n">
        <v>1</v>
      </c>
      <c r="E37" s="40" t="n">
        <f aca="false">B37*D37</f>
        <v>0.5</v>
      </c>
      <c r="F37" s="40" t="n">
        <f aca="false">B37-E37</f>
        <v>0</v>
      </c>
      <c r="G37" s="33" t="s">
        <v>983</v>
      </c>
    </row>
    <row r="38" customFormat="false" ht="15" hidden="false" customHeight="true" outlineLevel="0" collapsed="false">
      <c r="A38" s="33" t="s">
        <v>1238</v>
      </c>
      <c r="B38" s="40" t="n">
        <f aca="false">in_V30</f>
        <v>0.2</v>
      </c>
      <c r="C38" s="42" t="n">
        <f aca="false">B38/in_V27</f>
        <v>0.0333333333333333</v>
      </c>
      <c r="D38" s="32" t="n">
        <v>1</v>
      </c>
      <c r="E38" s="40" t="n">
        <f aca="false">B38*D38</f>
        <v>0.2</v>
      </c>
      <c r="F38" s="40" t="n">
        <f aca="false">B38-E38</f>
        <v>0</v>
      </c>
      <c r="G38" s="33" t="s">
        <v>1074</v>
      </c>
    </row>
    <row r="39" customFormat="false" ht="15" hidden="false" customHeight="true" outlineLevel="0" collapsed="false">
      <c r="A39" s="33" t="s">
        <v>1239</v>
      </c>
      <c r="B39" s="40" t="n">
        <f aca="false">in_V28*in_V27</f>
        <v>2.1</v>
      </c>
      <c r="C39" s="42" t="n">
        <f aca="false">B39/in_V27</f>
        <v>0.35</v>
      </c>
      <c r="D39" s="32" t="n">
        <v>1</v>
      </c>
      <c r="E39" s="40" t="n">
        <f aca="false">B39*D39</f>
        <v>2.1</v>
      </c>
      <c r="F39" s="40" t="n">
        <f aca="false">B39-E39</f>
        <v>0</v>
      </c>
      <c r="G39" s="33" t="s">
        <v>1068</v>
      </c>
    </row>
    <row r="40" customFormat="false" ht="15" hidden="false" customHeight="true" outlineLevel="0" collapsed="false">
      <c r="A40" s="33" t="s">
        <v>1240</v>
      </c>
      <c r="B40" s="40" t="n">
        <f aca="false">in_V27*in_V29/(1+in_V29)</f>
        <v>1</v>
      </c>
      <c r="C40" s="42" t="n">
        <f aca="false">B40/in_V27</f>
        <v>0.166666666666667</v>
      </c>
      <c r="D40" s="32" t="n">
        <v>1</v>
      </c>
      <c r="E40" s="40" t="n">
        <f aca="false">B40*D40</f>
        <v>1</v>
      </c>
      <c r="F40" s="40" t="n">
        <f aca="false">B40-E40</f>
        <v>0</v>
      </c>
      <c r="G40" s="33" t="s">
        <v>1071</v>
      </c>
    </row>
    <row r="41" customFormat="false" ht="15" hidden="false" customHeight="true" outlineLevel="0" collapsed="false">
      <c r="A41" s="3" t="s">
        <v>1232</v>
      </c>
      <c r="B41" s="40" t="n">
        <f aca="false">in_V27-SUM(B34:B40)</f>
        <v>0.72668085106383</v>
      </c>
      <c r="C41" s="42" t="n">
        <f aca="false">B41/in_V27</f>
        <v>0.121113475177305</v>
      </c>
      <c r="D41" s="32" t="n">
        <v>1</v>
      </c>
      <c r="E41" s="40" t="n">
        <f aca="false">B41*D41</f>
        <v>0.72668085106383</v>
      </c>
      <c r="F41" s="40" t="n">
        <f aca="false">B41-E41</f>
        <v>0</v>
      </c>
    </row>
    <row r="42" customFormat="false" ht="15" hidden="false" customHeight="true" outlineLevel="0" collapsed="false">
      <c r="A42" s="3" t="s">
        <v>1234</v>
      </c>
      <c r="B42" s="43" t="n">
        <f aca="false">SUM(B34:B41)</f>
        <v>6</v>
      </c>
      <c r="C42" s="44" t="n">
        <f aca="false">SUM(C34:C41)</f>
        <v>1</v>
      </c>
      <c r="E42" s="43" t="n">
        <f aca="false">SUM(E34:E41)</f>
        <v>5.37</v>
      </c>
      <c r="F42" s="43" t="n">
        <f aca="false">SUM(F34:F41)</f>
        <v>0.63</v>
      </c>
    </row>
    <row r="43" customFormat="false" ht="15" hidden="false" customHeight="true" outlineLevel="0" collapsed="false">
      <c r="A43" s="3" t="s">
        <v>1235</v>
      </c>
      <c r="E43" s="45" t="n">
        <f aca="false">E42/B42</f>
        <v>0.895</v>
      </c>
    </row>
    <row r="45" customFormat="false" ht="17.25" hidden="false" customHeight="true" outlineLevel="0" collapsed="false">
      <c r="A45" s="5" t="s">
        <v>1241</v>
      </c>
    </row>
    <row r="46" customFormat="false" ht="39" hidden="false" customHeight="true" outlineLevel="0" collapsed="false">
      <c r="A46" s="7" t="s">
        <v>1242</v>
      </c>
      <c r="B46" s="7" t="s">
        <v>1243</v>
      </c>
      <c r="C46" s="7" t="s">
        <v>1202</v>
      </c>
      <c r="D46" s="7" t="s">
        <v>1244</v>
      </c>
      <c r="E46" s="7"/>
      <c r="F46" s="7"/>
      <c r="G46" s="7" t="s">
        <v>1245</v>
      </c>
    </row>
    <row r="47" customFormat="false" ht="15" hidden="false" customHeight="true" outlineLevel="0" collapsed="false">
      <c r="A47" s="33" t="s">
        <v>1246</v>
      </c>
      <c r="B47" s="40" t="n">
        <f aca="false">B29</f>
        <v>14.99</v>
      </c>
      <c r="C47" s="40" t="n">
        <f aca="false">B42</f>
        <v>6</v>
      </c>
      <c r="D47" s="40" t="n">
        <f aca="false">in_G05*B47+(1-in_G05)*C47</f>
        <v>13.6415</v>
      </c>
      <c r="G47" s="33"/>
    </row>
    <row r="48" customFormat="false" ht="15" hidden="false" customHeight="true" outlineLevel="0" collapsed="false">
      <c r="A48" s="33" t="s">
        <v>1247</v>
      </c>
      <c r="B48" s="40" t="n">
        <f aca="false">E29</f>
        <v>4.02641082745098</v>
      </c>
      <c r="C48" s="40" t="n">
        <f aca="false">E42</f>
        <v>5.37</v>
      </c>
      <c r="D48" s="40" t="n">
        <f aca="false">in_G05*B48+(1-in_G05)*C48</f>
        <v>4.22794920333333</v>
      </c>
      <c r="G48" s="33"/>
    </row>
    <row r="49" customFormat="false" ht="15" hidden="false" customHeight="true" outlineLevel="0" collapsed="false">
      <c r="A49" s="33" t="s">
        <v>1248</v>
      </c>
      <c r="B49" s="42" t="n">
        <f aca="false">E30</f>
        <v>0.268606459469712</v>
      </c>
      <c r="C49" s="42" t="n">
        <f aca="false">E43</f>
        <v>0.895</v>
      </c>
      <c r="D49" s="45" t="n">
        <f aca="false">D48/D47</f>
        <v>0.309932866864592</v>
      </c>
      <c r="G49" s="33" t="s">
        <v>1249</v>
      </c>
    </row>
    <row r="50" customFormat="false" ht="15" hidden="false" customHeight="true" outlineLevel="0" collapsed="false">
      <c r="A50" s="33" t="s">
        <v>1250</v>
      </c>
      <c r="B50" s="40" t="n">
        <f aca="false">B11</f>
        <v>0.47331914893617</v>
      </c>
      <c r="C50" s="40" t="n">
        <f aca="false">B34</f>
        <v>0.47331914893617</v>
      </c>
      <c r="D50" s="40" t="n">
        <f aca="false">in_G05*B50+(1-in_G05)*C50</f>
        <v>0.47331914893617</v>
      </c>
      <c r="G50" s="33"/>
    </row>
    <row r="51" customFormat="false" ht="15" hidden="false" customHeight="true" outlineLevel="0" collapsed="false">
      <c r="A51" s="33" t="s">
        <v>1251</v>
      </c>
      <c r="B51" s="42" t="n">
        <f aca="false">B50/B47</f>
        <v>0.0315756603693242</v>
      </c>
      <c r="C51" s="42" t="n">
        <f aca="false">C50/C47</f>
        <v>0.078886524822695</v>
      </c>
      <c r="D51" s="42" t="n">
        <f aca="false">D50/D47</f>
        <v>0.0346970017180054</v>
      </c>
      <c r="G51" s="33"/>
    </row>
    <row r="52" customFormat="false" ht="15" hidden="false" customHeight="true" outlineLevel="0" collapsed="false">
      <c r="A52" s="33" t="s">
        <v>1252</v>
      </c>
      <c r="B52" s="40" t="n">
        <f aca="false">'Value chain'!$B$28</f>
        <v>2.63309167851481</v>
      </c>
      <c r="C52" s="40" t="n">
        <f aca="false">'Value chain'!$B$41</f>
        <v>0.72668085106383</v>
      </c>
      <c r="D52" s="40" t="n">
        <f aca="false">in_G05*B52+(1-in_G05)*C52</f>
        <v>2.34713005439716</v>
      </c>
      <c r="G52" s="33"/>
    </row>
    <row r="54" customFormat="false" ht="17.25" hidden="false" customHeight="true" outlineLevel="0" collapsed="false">
      <c r="A54" s="5" t="s">
        <v>1253</v>
      </c>
    </row>
    <row r="55" customFormat="false" ht="15" hidden="false" customHeight="true" outlineLevel="0" collapsed="false">
      <c r="A55" s="7" t="s">
        <v>1242</v>
      </c>
      <c r="B55" s="7" t="s">
        <v>1254</v>
      </c>
      <c r="C55" s="7"/>
      <c r="D55" s="7"/>
      <c r="E55" s="7"/>
      <c r="F55" s="7"/>
      <c r="G55" s="7" t="s">
        <v>1245</v>
      </c>
    </row>
    <row r="56" customFormat="false" ht="15" hidden="false" customHeight="true" outlineLevel="0" collapsed="false">
      <c r="A56" s="33" t="s">
        <v>1255</v>
      </c>
      <c r="B56" s="46" t="n">
        <f aca="false">c_units*D47</f>
        <v>4841916.92888609</v>
      </c>
      <c r="G56" s="33" t="s">
        <v>1256</v>
      </c>
    </row>
    <row r="57" customFormat="false" ht="15" hidden="false" customHeight="true" outlineLevel="0" collapsed="false">
      <c r="A57" s="33" t="s">
        <v>1257</v>
      </c>
      <c r="B57" s="46" t="n">
        <f aca="false">c_units*D48</f>
        <v>1500669.19488987</v>
      </c>
      <c r="G57" s="33"/>
    </row>
    <row r="58" customFormat="false" ht="15" hidden="false" customHeight="true" outlineLevel="0" collapsed="false">
      <c r="A58" s="33" t="s">
        <v>1258</v>
      </c>
      <c r="B58" s="46" t="n">
        <f aca="false">in_C01*(1-in_C12)*(1-in_V04)*1000*in_C15</f>
        <v>723800</v>
      </c>
      <c r="G58" s="33" t="s">
        <v>1259</v>
      </c>
    </row>
    <row r="59" customFormat="false" ht="15" hidden="false" customHeight="true" outlineLevel="0" collapsed="false">
      <c r="A59" s="33" t="s">
        <v>1260</v>
      </c>
      <c r="B59" s="46" t="n">
        <f aca="false">B56+B58</f>
        <v>5565716.92888609</v>
      </c>
      <c r="G59" s="33"/>
    </row>
    <row r="60" customFormat="false" ht="15" hidden="false" customHeight="true" outlineLevel="0" collapsed="false">
      <c r="A60" s="33" t="s">
        <v>1261</v>
      </c>
      <c r="B60" s="46" t="n">
        <f aca="false">B57+B58</f>
        <v>2224469.19488987</v>
      </c>
      <c r="G60" s="33"/>
    </row>
    <row r="61" customFormat="false" ht="15" hidden="false" customHeight="true" outlineLevel="0" collapsed="false">
      <c r="A61" s="33" t="s">
        <v>1262</v>
      </c>
      <c r="B61" s="45" t="n">
        <f aca="false">B60/B59</f>
        <v>0.399673433505909</v>
      </c>
      <c r="G61" s="33"/>
    </row>
    <row r="62" customFormat="false" ht="15" hidden="false" customHeight="true" outlineLevel="0" collapsed="false">
      <c r="A62" s="33" t="s">
        <v>1263</v>
      </c>
      <c r="B62" s="46" t="n">
        <f aca="false">D52/c_crude_kg*1000</f>
        <v>13884.8473954269</v>
      </c>
      <c r="G62" s="33" t="s">
        <v>1264</v>
      </c>
    </row>
    <row r="64" customFormat="false" ht="17.25" hidden="false" customHeight="true" outlineLevel="0" collapsed="false">
      <c r="A64" s="5" t="s">
        <v>1265</v>
      </c>
    </row>
    <row r="65" customFormat="false" ht="39" hidden="false" customHeight="true" outlineLevel="0" collapsed="false">
      <c r="A65" s="7" t="s">
        <v>1266</v>
      </c>
      <c r="B65" s="7" t="s">
        <v>1267</v>
      </c>
      <c r="C65" s="7"/>
      <c r="D65" s="7"/>
      <c r="E65" s="7"/>
      <c r="F65" s="7"/>
      <c r="G65" s="7" t="s">
        <v>1245</v>
      </c>
    </row>
    <row r="66" customFormat="false" ht="15" hidden="false" customHeight="true" outlineLevel="0" collapsed="false">
      <c r="A66" s="32" t="n">
        <v>0</v>
      </c>
      <c r="B66" s="42" t="n">
        <f aca="false">(A66*E29+(1-A66)*E42)/(A66*B29+(1-A66)*B42)</f>
        <v>0.895</v>
      </c>
    </row>
    <row r="67" customFormat="false" ht="15" hidden="false" customHeight="true" outlineLevel="0" collapsed="false">
      <c r="A67" s="32" t="n">
        <v>0.25</v>
      </c>
      <c r="B67" s="42" t="n">
        <f aca="false">(A67*E29+(1-A67)*E42)/(A67*B29+(1-A67)*B42)</f>
        <v>0.610379230901818</v>
      </c>
    </row>
    <row r="68" customFormat="false" ht="15" hidden="false" customHeight="true" outlineLevel="0" collapsed="false">
      <c r="A68" s="32" t="n">
        <v>0.5</v>
      </c>
      <c r="B68" s="42" t="n">
        <f aca="false">(A68*E29+(1-A68)*E42)/(A68*B29+(1-A68)*B42)</f>
        <v>0.447661306691328</v>
      </c>
    </row>
    <row r="69" customFormat="false" ht="15" hidden="false" customHeight="true" outlineLevel="0" collapsed="false">
      <c r="A69" s="32" t="n">
        <v>0.7</v>
      </c>
      <c r="B69" s="42" t="n">
        <f aca="false">(A69*E29+(1-A69)*E42)/(A69*B29+(1-A69)*B42)</f>
        <v>0.360326004979719</v>
      </c>
    </row>
    <row r="70" customFormat="false" ht="15" hidden="false" customHeight="true" outlineLevel="0" collapsed="false">
      <c r="A70" s="32" t="n">
        <v>0.85</v>
      </c>
      <c r="B70" s="42" t="n">
        <f aca="false">(A70*E29+(1-A70)*E42)/(A70*B29+(1-A70)*B42)</f>
        <v>0.309932866864592</v>
      </c>
      <c r="G70" s="33" t="s">
        <v>1268</v>
      </c>
    </row>
    <row r="71" customFormat="false" ht="15" hidden="false" customHeight="true" outlineLevel="0" collapsed="false">
      <c r="A71" s="32" t="n">
        <v>1</v>
      </c>
      <c r="B71" s="42" t="n">
        <f aca="false">(A71*E29+(1-A71)*E42)/(A71*B29+(1-A71)*B42)</f>
        <v>0.268606459469712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18"/>
    <col collapsed="false" customWidth="true" hidden="false" outlineLevel="0" max="3" min="3" style="1" width="16"/>
    <col collapsed="false" customWidth="true" hidden="false" outlineLevel="0" max="4" min="4" style="1" width="70"/>
  </cols>
  <sheetData>
    <row r="1" customFormat="false" ht="17.25" hidden="false" customHeight="true" outlineLevel="0" collapsed="false">
      <c r="A1" s="5" t="s">
        <v>1269</v>
      </c>
    </row>
    <row r="3" customFormat="false" ht="15" hidden="false" customHeight="true" outlineLevel="0" collapsed="false">
      <c r="A3" s="7" t="s">
        <v>1270</v>
      </c>
      <c r="B3" s="7" t="s">
        <v>1271</v>
      </c>
      <c r="C3" s="7" t="s">
        <v>1272</v>
      </c>
      <c r="D3" s="7" t="s">
        <v>1273</v>
      </c>
    </row>
    <row r="4" customFormat="false" ht="15" hidden="false" customHeight="true" outlineLevel="0" collapsed="false">
      <c r="A4" s="33" t="s">
        <v>1274</v>
      </c>
      <c r="B4" s="47" t="s">
        <v>1275</v>
      </c>
      <c r="C4" s="46" t="n">
        <f aca="false">IF(in_C11=1,in_C03,in_C12*c_margin_vc+(1-in_C12)*in_C03)</f>
        <v>5215.45421862807</v>
      </c>
      <c r="D4" s="33" t="s">
        <v>1276</v>
      </c>
    </row>
    <row r="5" customFormat="false" ht="15" hidden="false" customHeight="true" outlineLevel="0" collapsed="false">
      <c r="A5" s="33" t="s">
        <v>1277</v>
      </c>
      <c r="B5" s="47" t="s">
        <v>1278</v>
      </c>
      <c r="C5" s="46" t="n">
        <f aca="false">(1-in_C05)*in_C04+in_C05*c_margin</f>
        <v>2037.13626558842</v>
      </c>
      <c r="D5" s="33" t="s">
        <v>1279</v>
      </c>
    </row>
    <row r="6" customFormat="false" ht="15" hidden="false" customHeight="true" outlineLevel="0" collapsed="false">
      <c r="A6" s="33" t="s">
        <v>1280</v>
      </c>
      <c r="B6" s="47" t="s">
        <v>1281</v>
      </c>
      <c r="C6" s="48" t="n">
        <f aca="false">in_C01/in_C13</f>
        <v>540.540540540541</v>
      </c>
      <c r="D6" s="33" t="s">
        <v>1282</v>
      </c>
    </row>
    <row r="7" customFormat="false" ht="15" hidden="false" customHeight="true" outlineLevel="0" collapsed="false">
      <c r="A7" s="33" t="s">
        <v>1283</v>
      </c>
      <c r="B7" s="47" t="s">
        <v>1284</v>
      </c>
      <c r="C7" s="48" t="n">
        <f aca="false">c_kernel*1000/(in_R05*in_F06)</f>
        <v>6756.75675675676</v>
      </c>
      <c r="D7" s="33" t="s">
        <v>1285</v>
      </c>
    </row>
    <row r="8" customFormat="false" ht="15" hidden="false" customHeight="true" outlineLevel="0" collapsed="false">
      <c r="A8" s="33" t="s">
        <v>1286</v>
      </c>
      <c r="B8" s="47" t="s">
        <v>1287</v>
      </c>
      <c r="C8" s="46" t="n">
        <f aca="false">in_C01*c_margin</f>
        <v>1043090.84372561</v>
      </c>
      <c r="D8" s="33"/>
    </row>
    <row r="9" customFormat="false" ht="15" hidden="false" customHeight="true" outlineLevel="0" collapsed="false">
      <c r="A9" s="33" t="s">
        <v>1288</v>
      </c>
      <c r="B9" s="47" t="s">
        <v>1289</v>
      </c>
      <c r="C9" s="46" t="n">
        <f aca="false">c_annual/in_C14</f>
        <v>4172.36337490246</v>
      </c>
      <c r="D9" s="33"/>
    </row>
    <row r="10" customFormat="false" ht="15" hidden="false" customHeight="true" outlineLevel="0" collapsed="false">
      <c r="A10" s="33" t="s">
        <v>1290</v>
      </c>
      <c r="B10" s="47" t="s">
        <v>1291</v>
      </c>
      <c r="C10" s="46" t="n">
        <f aca="false">c_daily/in_C09</f>
        <v>260.772710931404</v>
      </c>
      <c r="D10" s="33"/>
    </row>
    <row r="11" customFormat="false" ht="15" hidden="false" customHeight="true" outlineLevel="0" collapsed="false">
      <c r="A11" s="33" t="s">
        <v>1292</v>
      </c>
      <c r="B11" s="47" t="s">
        <v>1293</v>
      </c>
      <c r="C11" s="48" t="n">
        <f aca="false">in_H08*in_C09/24*in_C14/365</f>
        <v>114.155251141553</v>
      </c>
      <c r="D11" s="33" t="s">
        <v>1294</v>
      </c>
    </row>
    <row r="12" customFormat="false" ht="15" hidden="false" customHeight="true" outlineLevel="0" collapsed="false">
      <c r="A12" s="33" t="s">
        <v>1295</v>
      </c>
      <c r="B12" s="47" t="s">
        <v>1296</v>
      </c>
      <c r="C12" s="48" t="n">
        <f aca="false">in_C08*1000/(in_C14*in_C09)</f>
        <v>62.5</v>
      </c>
      <c r="D12" s="33" t="s">
        <v>730</v>
      </c>
    </row>
    <row r="13" customFormat="false" ht="15" hidden="false" customHeight="true" outlineLevel="0" collapsed="false">
      <c r="A13" s="33" t="s">
        <v>1297</v>
      </c>
      <c r="B13" s="47" t="s">
        <v>1298</v>
      </c>
      <c r="C13" s="46" t="n">
        <f aca="false">c_out_hrs*c_hourly*in_C10</f>
        <v>14884.2871536189</v>
      </c>
      <c r="D13" s="33"/>
    </row>
    <row r="14" customFormat="false" ht="15" hidden="false" customHeight="true" outlineLevel="0" collapsed="false">
      <c r="A14" s="33" t="s">
        <v>1299</v>
      </c>
      <c r="B14" s="47" t="s">
        <v>1300</v>
      </c>
      <c r="C14" s="46" t="n">
        <f aca="false">c_out_hrs/in_H10*in_E07</f>
        <v>19025.8751902588</v>
      </c>
      <c r="D14" s="33"/>
    </row>
    <row r="15" customFormat="false" ht="15" hidden="false" customHeight="true" outlineLevel="0" collapsed="false">
      <c r="A15" s="33" t="s">
        <v>1301</v>
      </c>
      <c r="B15" s="47" t="s">
        <v>1302</v>
      </c>
      <c r="C15" s="46" t="n">
        <f aca="false">c_out_prod+c_out_spoil</f>
        <v>33910.1623438777</v>
      </c>
      <c r="D15" s="33" t="s">
        <v>1303</v>
      </c>
    </row>
    <row r="16" customFormat="false" ht="15" hidden="false" customHeight="true" outlineLevel="0" collapsed="false">
      <c r="A16" s="33" t="s">
        <v>1304</v>
      </c>
      <c r="B16" s="47" t="s">
        <v>1305</v>
      </c>
      <c r="C16" s="46" t="n">
        <f aca="false">in_E14*(c_out_spoil+c_out_prod*MIN(1,in_E06a/c_avg_kw))</f>
        <v>18319.2331167971</v>
      </c>
      <c r="D16" s="33" t="s">
        <v>1306</v>
      </c>
    </row>
    <row r="17" customFormat="false" ht="15" hidden="false" customHeight="true" outlineLevel="0" collapsed="false">
      <c r="A17" s="33" t="s">
        <v>1307</v>
      </c>
      <c r="B17" s="47" t="s">
        <v>1308</v>
      </c>
      <c r="C17" s="46" t="n">
        <f aca="false">c_out_spoil+c_out_prod*MIN(1,in_E25/c_avg_kw)</f>
        <v>26170.3330239958</v>
      </c>
      <c r="D17" s="33"/>
    </row>
    <row r="18" customFormat="false" ht="15" hidden="false" customHeight="true" outlineLevel="0" collapsed="false">
      <c r="A18" s="33" t="s">
        <v>1309</v>
      </c>
      <c r="B18" s="47" t="s">
        <v>1310</v>
      </c>
      <c r="C18" s="42" t="n">
        <f aca="false">IF(c_sales&gt;0,c_out_cost/c_sales,0)</f>
        <v>0.00609268541270646</v>
      </c>
      <c r="D18" s="33" t="s">
        <v>1311</v>
      </c>
    </row>
    <row r="19" customFormat="false" ht="15" hidden="false" customHeight="true" outlineLevel="0" collapsed="false">
      <c r="A19" s="33" t="s">
        <v>1312</v>
      </c>
      <c r="B19" s="47" t="s">
        <v>1313</v>
      </c>
      <c r="C19" s="42" t="n">
        <f aca="false">INDEX(CHOOSE(in_H09,Hazards!$B$5:$B$10,Hazards!$C$5:$C$10),MATCH(MIN(MAX(in_H06,0),3),Hazards!$A$5:$A$10,1))+IF(MATCH(MIN(MAX(in_H06,0),3),Hazards!$A$5:$A$10,1)=6,0,(INDEX(CHOOSE(in_H09,Hazards!$B$5:$B$10,Hazards!$C$5:$C$10),MIN(MATCH(MIN(MAX(in_H06,0),3),Hazards!$A$5:$A$10,1)+1,6))-INDEX(CHOOSE(in_H09,Hazards!$B$5:$B$10,Hazards!$C$5:$C$10),MATCH(MIN(MAX(in_H06,0),3),Hazards!$A$5:$A$10,1)))*(MIN(MAX(in_H06,0),3)-INDEX(Hazards!$A$5:$A$10,MATCH(MIN(MAX(in_H06,0),3),Hazards!$A$5:$A$10,1)))/(INDEX(Hazards!$A$5:$A$10,MIN(MATCH(MIN(MAX(in_H06,0),3),Hazards!$A$5:$A$10,1)+1,6))-INDEX(Hazards!$A$5:$A$10,MATCH(MIN(MAX(in_H06,0),3),Hazards!$A$5:$A$10,1))))</f>
        <v>0.0627</v>
      </c>
      <c r="D19" s="33" t="s">
        <v>1314</v>
      </c>
    </row>
    <row r="20" customFormat="false" ht="15" hidden="false" customHeight="true" outlineLevel="0" collapsed="false">
      <c r="A20" s="33" t="s">
        <v>1315</v>
      </c>
      <c r="B20" s="47" t="s">
        <v>1316</v>
      </c>
      <c r="C20" s="42" t="n">
        <f aca="false">INDEX(CHOOSE(in_H09,Hazards!$B$5:$B$10,Hazards!$C$5:$C$10),MATCH(MIN(MAX(in_D07,0),3),Hazards!$A$5:$A$10,1))+IF(MATCH(MIN(MAX(in_D07,0),3),Hazards!$A$5:$A$10,1)=6,0,(INDEX(CHOOSE(in_H09,Hazards!$B$5:$B$10,Hazards!$C$5:$C$10),MIN(MATCH(MIN(MAX(in_D07,0),3),Hazards!$A$5:$A$10,1)+1,6))-INDEX(CHOOSE(in_H09,Hazards!$B$5:$B$10,Hazards!$C$5:$C$10),MATCH(MIN(MAX(in_D07,0),3),Hazards!$A$5:$A$10,1)))*(MIN(MAX(in_D07,0),3)-INDEX(Hazards!$A$5:$A$10,MATCH(MIN(MAX(in_D07,0),3),Hazards!$A$5:$A$10,1)))/(INDEX(Hazards!$A$5:$A$10,MIN(MATCH(MIN(MAX(in_D07,0),3),Hazards!$A$5:$A$10,1)+1,6))-INDEX(Hazards!$A$5:$A$10,MATCH(MIN(MAX(in_D07,0),3),Hazards!$A$5:$A$10,1))))</f>
        <v>0.01254</v>
      </c>
      <c r="D20" s="33"/>
    </row>
    <row r="21" customFormat="false" ht="15" hidden="false" customHeight="true" outlineLevel="0" collapsed="false">
      <c r="A21" s="33" t="s">
        <v>1317</v>
      </c>
      <c r="B21" s="47" t="s">
        <v>1318</v>
      </c>
      <c r="C21" s="46" t="n">
        <f aca="false">in_C07*c_D0</f>
        <v>112860</v>
      </c>
      <c r="D21" s="33"/>
    </row>
    <row r="22" customFormat="false" ht="15" hidden="false" customHeight="true" outlineLevel="0" collapsed="false">
      <c r="A22" s="33" t="s">
        <v>1319</v>
      </c>
      <c r="B22" s="47" t="s">
        <v>1320</v>
      </c>
      <c r="C22" s="46" t="n">
        <f aca="false">in_C07*c_D1</f>
        <v>22572</v>
      </c>
      <c r="D22" s="33"/>
    </row>
    <row r="23" customFormat="false" ht="15" hidden="false" customHeight="true" outlineLevel="0" collapsed="false">
      <c r="A23" s="33" t="s">
        <v>1321</v>
      </c>
      <c r="B23" s="47" t="s">
        <v>1322</v>
      </c>
      <c r="C23" s="46" t="n">
        <f aca="false">in_H07*c_daily*in_C10</f>
        <v>10430.9084372561</v>
      </c>
      <c r="D23" s="33"/>
    </row>
    <row r="24" customFormat="false" ht="15" hidden="false" customHeight="true" outlineLevel="0" collapsed="false">
      <c r="A24" s="33" t="s">
        <v>1323</v>
      </c>
      <c r="B24" s="47" t="s">
        <v>1324</v>
      </c>
      <c r="C24" s="46" t="n">
        <f aca="false">in_D09*c_daily*in_C10</f>
        <v>2086.18168745123</v>
      </c>
      <c r="D24" s="33"/>
    </row>
    <row r="25" customFormat="false" ht="15" hidden="false" customHeight="true" outlineLevel="0" collapsed="false">
      <c r="A25" s="33" t="s">
        <v>1325</v>
      </c>
      <c r="B25" s="47" t="s">
        <v>1326</v>
      </c>
      <c r="C25" s="46" t="n">
        <f aca="false">c_prop0+c_bi0</f>
        <v>123290.908437256</v>
      </c>
      <c r="D25" s="33"/>
    </row>
    <row r="26" customFormat="false" ht="15" hidden="false" customHeight="true" outlineLevel="0" collapsed="false">
      <c r="A26" s="33" t="s">
        <v>1327</v>
      </c>
      <c r="B26" s="47" t="s">
        <v>1328</v>
      </c>
      <c r="C26" s="46" t="n">
        <f aca="false">c_prop1+c_bi1</f>
        <v>24658.1816874512</v>
      </c>
      <c r="D26" s="33"/>
    </row>
    <row r="27" customFormat="false" ht="15" hidden="false" customHeight="true" outlineLevel="0" collapsed="false">
      <c r="A27" s="33" t="s">
        <v>1329</v>
      </c>
      <c r="B27" s="47" t="s">
        <v>1330</v>
      </c>
      <c r="C27" s="46" t="n">
        <f aca="false">in_N04*(MAX(0,c_prop0-MAX(in_N03a*c_prop0,in_N03b))+c_bi0)</f>
        <v>78403.4359060793</v>
      </c>
      <c r="D27" s="33" t="s">
        <v>1331</v>
      </c>
    </row>
    <row r="28" customFormat="false" ht="15" hidden="false" customHeight="true" outlineLevel="0" collapsed="false">
      <c r="A28" s="33" t="s">
        <v>1332</v>
      </c>
      <c r="B28" s="47" t="s">
        <v>1333</v>
      </c>
      <c r="C28" s="46" t="n">
        <f aca="false">in_N04*(MAX(0,c_prop1-MAX(in_N03a*c_prop1,in_N03b))+c_bi1)</f>
        <v>10260.7271812159</v>
      </c>
      <c r="D28" s="33"/>
    </row>
    <row r="29" customFormat="false" ht="15" hidden="false" customHeight="true" outlineLevel="0" collapsed="false">
      <c r="A29" s="33" t="s">
        <v>1334</v>
      </c>
      <c r="B29" s="47" t="s">
        <v>1335</v>
      </c>
      <c r="C29" s="46" t="n">
        <f aca="false">in_N01*in_C07+in_N02*c_annual</f>
        <v>7629.27253117684</v>
      </c>
      <c r="D29" s="33" t="s">
        <v>1336</v>
      </c>
    </row>
    <row r="30" customFormat="false" ht="15" hidden="false" customHeight="true" outlineLevel="0" collapsed="false">
      <c r="A30" s="33" t="s">
        <v>1337</v>
      </c>
      <c r="B30" s="47" t="s">
        <v>1338</v>
      </c>
      <c r="C30" s="46" t="n">
        <f aca="false">in_D02*in_D01*(1+in_D03)+in_D05*in_D04+in_D06</f>
        <v>117325</v>
      </c>
      <c r="D30" s="33"/>
    </row>
    <row r="31" customFormat="false" ht="15" hidden="false" customHeight="true" outlineLevel="0" collapsed="false">
      <c r="A31" s="33" t="s">
        <v>1339</v>
      </c>
      <c r="B31" s="47" t="s">
        <v>1340</v>
      </c>
      <c r="C31" s="46" t="n">
        <f aca="false">in_E09*in_E01</f>
        <v>100000</v>
      </c>
      <c r="D31" s="33"/>
    </row>
    <row r="32" customFormat="false" ht="15" hidden="false" customHeight="true" outlineLevel="0" collapsed="false">
      <c r="A32" s="33" t="s">
        <v>1341</v>
      </c>
      <c r="B32" s="47" t="s">
        <v>1342</v>
      </c>
      <c r="C32" s="48" t="n">
        <f aca="false">in_E06a*in_E06b/(in_E16*in_E17*in_E18)</f>
        <v>208.333333333333</v>
      </c>
      <c r="D32" s="33" t="s">
        <v>1343</v>
      </c>
    </row>
    <row r="33" customFormat="false" ht="15" hidden="false" customHeight="true" outlineLevel="0" collapsed="false">
      <c r="A33" s="33" t="s">
        <v>1344</v>
      </c>
      <c r="B33" s="47" t="s">
        <v>1345</v>
      </c>
      <c r="C33" s="46" t="n">
        <f aca="false">c_bat_kwh*in_E05+in_E13</f>
        <v>82916.6666666667</v>
      </c>
      <c r="D33" s="33"/>
    </row>
    <row r="34" customFormat="false" ht="15" hidden="false" customHeight="true" outlineLevel="0" collapsed="false">
      <c r="A34" s="33" t="s">
        <v>1346</v>
      </c>
      <c r="B34" s="47" t="s">
        <v>1347</v>
      </c>
      <c r="C34" s="48" t="n">
        <f aca="false">in_E25*in_E19</f>
        <v>46.8</v>
      </c>
      <c r="D34" s="33" t="s">
        <v>1348</v>
      </c>
    </row>
    <row r="35" customFormat="false" ht="15" hidden="false" customHeight="true" outlineLevel="0" collapsed="false">
      <c r="A35" s="33" t="s">
        <v>1349</v>
      </c>
      <c r="B35" s="47" t="s">
        <v>1350</v>
      </c>
      <c r="C35" s="46" t="n">
        <f aca="false">c_gen_kva*in_E10</f>
        <v>16192.8</v>
      </c>
      <c r="D35" s="33"/>
    </row>
    <row r="36" customFormat="false" ht="15" hidden="false" customHeight="true" outlineLevel="0" collapsed="false">
      <c r="A36" s="33" t="s">
        <v>1351</v>
      </c>
      <c r="B36" s="47" t="s">
        <v>1352</v>
      </c>
      <c r="C36" s="46" t="n">
        <f aca="false">c_out_hrs*MIN(in_E25,c_avg_kw)*in_E04</f>
        <v>1815.06849315069</v>
      </c>
      <c r="D36" s="33"/>
    </row>
    <row r="37" customFormat="false" ht="15" hidden="false" customHeight="true" outlineLevel="0" collapsed="false">
      <c r="A37" s="33" t="s">
        <v>1353</v>
      </c>
      <c r="B37" s="47" t="s">
        <v>1354</v>
      </c>
      <c r="C37" s="46" t="n">
        <f aca="false">in_I03*(in_I01+(1/in_I02-1)*in_I08)</f>
        <v>120577.777777778</v>
      </c>
      <c r="D37" s="33"/>
    </row>
    <row r="38" customFormat="false" ht="15" hidden="false" customHeight="true" outlineLevel="0" collapsed="false">
      <c r="A38" s="33" t="s">
        <v>1355</v>
      </c>
      <c r="B38" s="47" t="s">
        <v>1356</v>
      </c>
      <c r="C38" s="42" t="n">
        <f aca="false">MIN(1,in_A08/in_A10*PI()*in_A11^2*100/c_catch)</f>
        <v>0.232477856365645</v>
      </c>
      <c r="D38" s="33" t="s">
        <v>1357</v>
      </c>
    </row>
    <row r="39" customFormat="false" ht="15" hidden="false" customHeight="true" outlineLevel="0" collapsed="false">
      <c r="A39" s="33" t="s">
        <v>1358</v>
      </c>
      <c r="B39" s="47" t="s">
        <v>1359</v>
      </c>
      <c r="C39" s="49" t="n">
        <f aca="false">in_A08*in_A04*in_A02*in_A03</f>
        <v>104</v>
      </c>
      <c r="D39" s="33" t="s">
        <v>1360</v>
      </c>
    </row>
    <row r="40" customFormat="false" ht="15" hidden="false" customHeight="true" outlineLevel="0" collapsed="false">
      <c r="A40" s="33" t="s">
        <v>1361</v>
      </c>
      <c r="B40" s="47" t="s">
        <v>1362</v>
      </c>
      <c r="C40" s="48" t="n">
        <f aca="false">in_R07/in_R09</f>
        <v>100</v>
      </c>
      <c r="D40" s="33" t="s">
        <v>1363</v>
      </c>
    </row>
    <row r="41" customFormat="false" ht="15" hidden="false" customHeight="true" outlineLevel="0" collapsed="false">
      <c r="A41" s="33" t="s">
        <v>1364</v>
      </c>
      <c r="B41" s="47" t="s">
        <v>1365</v>
      </c>
      <c r="C41" s="42" t="n">
        <f aca="false">MIN(1,in_S05*in_S06/in_C01)</f>
        <v>1</v>
      </c>
      <c r="D41" s="33"/>
    </row>
    <row r="42" customFormat="false" ht="15" hidden="false" customHeight="true" outlineLevel="0" collapsed="false">
      <c r="A42" s="33" t="s">
        <v>1366</v>
      </c>
      <c r="B42" s="47" t="s">
        <v>1367</v>
      </c>
      <c r="C42" s="49" t="n">
        <f aca="false">in_B01*in_B02</f>
        <v>60</v>
      </c>
      <c r="D42" s="33" t="s">
        <v>1368</v>
      </c>
    </row>
    <row r="43" customFormat="false" ht="15" hidden="false" customHeight="true" outlineLevel="0" collapsed="false">
      <c r="A43" s="33" t="s">
        <v>1369</v>
      </c>
      <c r="B43" s="47" t="s">
        <v>1370</v>
      </c>
      <c r="C43" s="48" t="n">
        <f aca="false">IF(in_M10=1,in_M01a,in_M01b)</f>
        <v>100</v>
      </c>
      <c r="D43" s="33" t="s">
        <v>1371</v>
      </c>
    </row>
    <row r="44" customFormat="false" ht="15" hidden="false" customHeight="true" outlineLevel="0" collapsed="false">
      <c r="A44" s="33" t="s">
        <v>1372</v>
      </c>
      <c r="B44" s="47" t="s">
        <v>1373</v>
      </c>
      <c r="C44" s="49" t="n">
        <f aca="false">in_M06*c_mango_yield/1000</f>
        <v>10</v>
      </c>
      <c r="D44" s="33" t="s">
        <v>1368</v>
      </c>
    </row>
    <row r="45" customFormat="false" ht="15" hidden="false" customHeight="true" outlineLevel="0" collapsed="false">
      <c r="A45" s="33" t="s">
        <v>1374</v>
      </c>
      <c r="B45" s="47" t="s">
        <v>1375</v>
      </c>
      <c r="C45" s="46" t="n">
        <f aca="false">in_M06*c_mango_yield*(in_M02-in_M04)-in_M06*in_M03</f>
        <v>35000</v>
      </c>
      <c r="D45" s="33" t="s">
        <v>1376</v>
      </c>
    </row>
    <row r="46" customFormat="false" ht="15" hidden="false" customHeight="true" outlineLevel="0" collapsed="false">
      <c r="A46" s="33" t="s">
        <v>1377</v>
      </c>
      <c r="B46" s="47" t="s">
        <v>1378</v>
      </c>
      <c r="C46" s="46" t="n">
        <f aca="false">IF(c_mango_t&gt;0,c_mango_margin/c_mango_t,0)</f>
        <v>3500</v>
      </c>
      <c r="D46" s="33"/>
    </row>
    <row r="47" customFormat="false" ht="15" hidden="false" customHeight="true" outlineLevel="0" collapsed="false">
      <c r="A47" s="33" t="s">
        <v>1379</v>
      </c>
      <c r="B47" s="47" t="s">
        <v>1380</v>
      </c>
      <c r="C47" s="49" t="n">
        <f aca="false">MIN(c_mango_t,in_M05*in_H02*in_C01)*(1-in_G07)</f>
        <v>7</v>
      </c>
      <c r="D47" s="33" t="s">
        <v>1381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2"/>
    <col collapsed="false" customWidth="true" hidden="false" outlineLevel="0" max="3" min="3" style="1" width="14"/>
    <col collapsed="false" customWidth="true" hidden="false" outlineLevel="0" max="34" min="4" style="1" width="11"/>
  </cols>
  <sheetData>
    <row r="1" customFormat="false" ht="17.25" hidden="false" customHeight="true" outlineLevel="0" collapsed="false">
      <c r="A1" s="5" t="s">
        <v>1382</v>
      </c>
    </row>
    <row r="2" customFormat="false" ht="15" hidden="false" customHeight="true" outlineLevel="0" collapsed="false">
      <c r="A2" s="6" t="s">
        <v>1383</v>
      </c>
    </row>
    <row r="3" customFormat="false" ht="15" hidden="false" customHeight="true" outlineLevel="0" collapsed="false">
      <c r="A3" s="3" t="s">
        <v>1384</v>
      </c>
      <c r="D3" s="50" t="n">
        <v>0</v>
      </c>
      <c r="E3" s="50" t="n">
        <v>1</v>
      </c>
      <c r="F3" s="50" t="n">
        <v>2</v>
      </c>
      <c r="G3" s="50" t="n">
        <v>3</v>
      </c>
      <c r="H3" s="50" t="n">
        <v>4</v>
      </c>
      <c r="I3" s="50" t="n">
        <v>5</v>
      </c>
      <c r="J3" s="50" t="n">
        <v>6</v>
      </c>
      <c r="K3" s="50" t="n">
        <v>7</v>
      </c>
      <c r="L3" s="50" t="n">
        <v>8</v>
      </c>
      <c r="M3" s="50" t="n">
        <v>9</v>
      </c>
      <c r="N3" s="50" t="n">
        <v>10</v>
      </c>
      <c r="O3" s="50" t="n">
        <v>11</v>
      </c>
      <c r="P3" s="50" t="n">
        <v>12</v>
      </c>
      <c r="Q3" s="50" t="n">
        <v>13</v>
      </c>
      <c r="R3" s="50" t="n">
        <v>14</v>
      </c>
      <c r="S3" s="50" t="n">
        <v>15</v>
      </c>
      <c r="T3" s="50" t="n">
        <v>16</v>
      </c>
      <c r="U3" s="50" t="n">
        <v>17</v>
      </c>
      <c r="V3" s="50" t="n">
        <v>18</v>
      </c>
      <c r="W3" s="50" t="n">
        <v>19</v>
      </c>
      <c r="X3" s="50" t="n">
        <v>20</v>
      </c>
      <c r="Y3" s="50" t="n">
        <v>21</v>
      </c>
      <c r="Z3" s="50" t="n">
        <v>22</v>
      </c>
      <c r="AA3" s="50" t="n">
        <v>23</v>
      </c>
      <c r="AB3" s="50" t="n">
        <v>24</v>
      </c>
      <c r="AC3" s="50" t="n">
        <v>25</v>
      </c>
      <c r="AD3" s="50" t="n">
        <v>26</v>
      </c>
      <c r="AE3" s="50" t="n">
        <v>27</v>
      </c>
      <c r="AF3" s="50" t="n">
        <v>28</v>
      </c>
      <c r="AG3" s="50" t="n">
        <v>29</v>
      </c>
      <c r="AH3" s="50" t="n">
        <v>30</v>
      </c>
    </row>
    <row r="5" customFormat="false" ht="15" hidden="false" customHeight="true" outlineLevel="0" collapsed="false">
      <c r="A5" s="3" t="s">
        <v>1385</v>
      </c>
    </row>
    <row r="6" customFormat="false" ht="15" hidden="false" customHeight="true" outlineLevel="0" collapsed="false">
      <c r="A6" s="33" t="s">
        <v>1386</v>
      </c>
      <c r="D6" s="51" t="n">
        <f aca="false">IF(D$3=0,0,in_C01*in_C06*(1-in_H04)^D$3)</f>
        <v>0</v>
      </c>
      <c r="E6" s="51" t="n">
        <f aca="false">IF(E$3=0,0,in_C01*in_C06*(1-in_H04)^E$3)</f>
        <v>246.25</v>
      </c>
      <c r="F6" s="51" t="n">
        <f aca="false">IF(F$3=0,0,in_C01*in_C06*(1-in_H04)^F$3)</f>
        <v>242.55625</v>
      </c>
      <c r="G6" s="51" t="n">
        <f aca="false">IF(G$3=0,0,in_C01*in_C06*(1-in_H04)^G$3)</f>
        <v>238.91790625</v>
      </c>
      <c r="H6" s="51" t="n">
        <f aca="false">IF(H$3=0,0,in_C01*in_C06*(1-in_H04)^H$3)</f>
        <v>235.33413765625</v>
      </c>
      <c r="I6" s="51" t="n">
        <f aca="false">IF(I$3=0,0,in_C01*in_C06*(1-in_H04)^I$3)</f>
        <v>231.804125591406</v>
      </c>
      <c r="J6" s="51" t="n">
        <f aca="false">IF(J$3=0,0,in_C01*in_C06*(1-in_H04)^J$3)</f>
        <v>228.327063707535</v>
      </c>
      <c r="K6" s="51" t="n">
        <f aca="false">IF(K$3=0,0,in_C01*in_C06*(1-in_H04)^K$3)</f>
        <v>224.902157751922</v>
      </c>
      <c r="L6" s="51" t="n">
        <f aca="false">IF(L$3=0,0,in_C01*in_C06*(1-in_H04)^L$3)</f>
        <v>221.528625385643</v>
      </c>
      <c r="M6" s="51" t="n">
        <f aca="false">IF(M$3=0,0,in_C01*in_C06*(1-in_H04)^M$3)</f>
        <v>218.205696004859</v>
      </c>
      <c r="N6" s="51" t="n">
        <f aca="false">IF(N$3=0,0,in_C01*in_C06*(1-in_H04)^N$3)</f>
        <v>214.932610564786</v>
      </c>
      <c r="O6" s="51" t="n">
        <f aca="false">IF(O$3=0,0,in_C01*in_C06*(1-in_H04)^O$3)</f>
        <v>211.708621406314</v>
      </c>
      <c r="P6" s="51" t="n">
        <f aca="false">IF(P$3=0,0,in_C01*in_C06*(1-in_H04)^P$3)</f>
        <v>208.532992085219</v>
      </c>
      <c r="Q6" s="51" t="n">
        <f aca="false">IF(Q$3=0,0,in_C01*in_C06*(1-in_H04)^Q$3)</f>
        <v>205.404997203941</v>
      </c>
      <c r="R6" s="51" t="n">
        <f aca="false">IF(R$3=0,0,in_C01*in_C06*(1-in_H04)^R$3)</f>
        <v>202.323922245882</v>
      </c>
      <c r="S6" s="51" t="n">
        <f aca="false">IF(S$3=0,0,in_C01*in_C06*(1-in_H04)^S$3)</f>
        <v>199.289063412194</v>
      </c>
      <c r="T6" s="51" t="n">
        <f aca="false">IF(T$3=0,0,in_C01*in_C06*(1-in_H04)^T$3)</f>
        <v>196.299727461011</v>
      </c>
      <c r="U6" s="51" t="n">
        <f aca="false">IF(U$3=0,0,in_C01*in_C06*(1-in_H04)^U$3)</f>
        <v>193.355231549096</v>
      </c>
      <c r="V6" s="51" t="n">
        <f aca="false">IF(V$3=0,0,in_C01*in_C06*(1-in_H04)^V$3)</f>
        <v>190.454903075859</v>
      </c>
      <c r="W6" s="51" t="n">
        <f aca="false">IF(W$3=0,0,in_C01*in_C06*(1-in_H04)^W$3)</f>
        <v>187.598079529721</v>
      </c>
      <c r="X6" s="51" t="n">
        <f aca="false">IF(X$3=0,0,in_C01*in_C06*(1-in_H04)^X$3)</f>
        <v>184.784108336775</v>
      </c>
      <c r="Y6" s="51" t="n">
        <f aca="false">IF(Y$3=0,0,in_C01*in_C06*(1-in_H04)^Y$3)</f>
        <v>182.012346711724</v>
      </c>
      <c r="Z6" s="51" t="n">
        <f aca="false">IF(Z$3=0,0,in_C01*in_C06*(1-in_H04)^Z$3)</f>
        <v>179.282161511048</v>
      </c>
      <c r="AA6" s="51" t="n">
        <f aca="false">IF(AA$3=0,0,in_C01*in_C06*(1-in_H04)^AA$3)</f>
        <v>176.592929088382</v>
      </c>
      <c r="AB6" s="51" t="n">
        <f aca="false">IF(AB$3=0,0,in_C01*in_C06*(1-in_H04)^AB$3)</f>
        <v>173.944035152056</v>
      </c>
      <c r="AC6" s="51" t="n">
        <f aca="false">IF(AC$3=0,0,in_C01*in_C06*(1-in_H04)^AC$3)</f>
        <v>171.334874624776</v>
      </c>
      <c r="AD6" s="51" t="n">
        <f aca="false">IF(AD$3=0,0,in_C01*in_C06*(1-in_H04)^AD$3)</f>
        <v>168.764851505404</v>
      </c>
      <c r="AE6" s="51" t="n">
        <f aca="false">IF(AE$3=0,0,in_C01*in_C06*(1-in_H04)^AE$3)</f>
        <v>166.233378732823</v>
      </c>
      <c r="AF6" s="51" t="n">
        <f aca="false">IF(AF$3=0,0,in_C01*in_C06*(1-in_H04)^AF$3)</f>
        <v>163.739878051831</v>
      </c>
      <c r="AG6" s="51" t="n">
        <f aca="false">IF(AG$3=0,0,in_C01*in_C06*(1-in_H04)^AG$3)</f>
        <v>161.283779881053</v>
      </c>
      <c r="AH6" s="51" t="n">
        <f aca="false">IF(AH$3=0,0,in_C01*in_C06*(1-in_H04)^AH$3)</f>
        <v>158.864523182837</v>
      </c>
    </row>
    <row r="7" customFormat="false" ht="15" hidden="false" customHeight="true" outlineLevel="0" collapsed="false">
      <c r="A7" s="33" t="s">
        <v>1387</v>
      </c>
      <c r="D7" s="52" t="n">
        <f aca="false">IF(D$3=0,0,(MAX(0,in_C01-D6)+in_H01*in_H02*MIN(in_C01,D6))*c_VST)</f>
        <v>0</v>
      </c>
      <c r="E7" s="52" t="n">
        <f aca="false">IF(E$3=0,0,(MAX(0,in_C01-E6)+in_H01*in_H02*MIN(in_C01,E6))*c_VST)</f>
        <v>36668.4527805916</v>
      </c>
      <c r="F7" s="52" t="n">
        <f aca="false">IF(F$3=0,0,(MAX(0,in_C01-F6)+in_H01*in_H02*MIN(in_C01,F6))*c_VST)</f>
        <v>36668.4527805916</v>
      </c>
      <c r="G7" s="52" t="n">
        <f aca="false">IF(G$3=0,0,(MAX(0,in_C01-G6)+in_H01*in_H02*MIN(in_C01,G6))*c_VST)</f>
        <v>36668.4527805916</v>
      </c>
      <c r="H7" s="52" t="n">
        <f aca="false">IF(H$3=0,0,(MAX(0,in_C01-H6)+in_H01*in_H02*MIN(in_C01,H6))*c_VST)</f>
        <v>36668.4527805916</v>
      </c>
      <c r="I7" s="52" t="n">
        <f aca="false">IF(I$3=0,0,(MAX(0,in_C01-I6)+in_H01*in_H02*MIN(in_C01,I6))*c_VST)</f>
        <v>36668.4527805916</v>
      </c>
      <c r="J7" s="52" t="n">
        <f aca="false">IF(J$3=0,0,(MAX(0,in_C01-J6)+in_H01*in_H02*MIN(in_C01,J6))*c_VST)</f>
        <v>36668.4527805916</v>
      </c>
      <c r="K7" s="52" t="n">
        <f aca="false">IF(K$3=0,0,(MAX(0,in_C01-K6)+in_H01*in_H02*MIN(in_C01,K6))*c_VST)</f>
        <v>36668.4527805916</v>
      </c>
      <c r="L7" s="52" t="n">
        <f aca="false">IF(L$3=0,0,(MAX(0,in_C01-L6)+in_H01*in_H02*MIN(in_C01,L6))*c_VST)</f>
        <v>36668.4527805916</v>
      </c>
      <c r="M7" s="52" t="n">
        <f aca="false">IF(M$3=0,0,(MAX(0,in_C01-M6)+in_H01*in_H02*MIN(in_C01,M6))*c_VST)</f>
        <v>36668.4527805916</v>
      </c>
      <c r="N7" s="52" t="n">
        <f aca="false">IF(N$3=0,0,(MAX(0,in_C01-N6)+in_H01*in_H02*MIN(in_C01,N6))*c_VST)</f>
        <v>36668.4527805916</v>
      </c>
      <c r="O7" s="52" t="n">
        <f aca="false">IF(O$3=0,0,(MAX(0,in_C01-O6)+in_H01*in_H02*MIN(in_C01,O6))*c_VST)</f>
        <v>36668.4527805916</v>
      </c>
      <c r="P7" s="52" t="n">
        <f aca="false">IF(P$3=0,0,(MAX(0,in_C01-P6)+in_H01*in_H02*MIN(in_C01,P6))*c_VST)</f>
        <v>36668.4527805916</v>
      </c>
      <c r="Q7" s="52" t="n">
        <f aca="false">IF(Q$3=0,0,(MAX(0,in_C01-Q6)+in_H01*in_H02*MIN(in_C01,Q6))*c_VST)</f>
        <v>36668.4527805916</v>
      </c>
      <c r="R7" s="52" t="n">
        <f aca="false">IF(R$3=0,0,(MAX(0,in_C01-R6)+in_H01*in_H02*MIN(in_C01,R6))*c_VST)</f>
        <v>36668.4527805916</v>
      </c>
      <c r="S7" s="52" t="n">
        <f aca="false">IF(S$3=0,0,(MAX(0,in_C01-S6)+in_H01*in_H02*MIN(in_C01,S6))*c_VST)</f>
        <v>37986.3827626458</v>
      </c>
      <c r="T7" s="52" t="n">
        <f aca="false">IF(T$3=0,0,(MAX(0,in_C01-T6)+in_H01*in_H02*MIN(in_C01,T6))*c_VST)</f>
        <v>43527.9958179714</v>
      </c>
      <c r="U7" s="52" t="n">
        <f aca="false">IF(U$3=0,0,(MAX(0,in_C01-U6)+in_H01*in_H02*MIN(in_C01,U6))*c_VST)</f>
        <v>48986.4846774671</v>
      </c>
      <c r="V7" s="52" t="n">
        <f aca="false">IF(V$3=0,0,(MAX(0,in_C01-V6)+in_H01*in_H02*MIN(in_C01,V6))*c_VST)</f>
        <v>54363.0962040703</v>
      </c>
      <c r="W7" s="52" t="n">
        <f aca="false">IF(W$3=0,0,(MAX(0,in_C01-W6)+in_H01*in_H02*MIN(in_C01,W6))*c_VST)</f>
        <v>59659.0585577745</v>
      </c>
      <c r="X7" s="52" t="n">
        <f aca="false">IF(X$3=0,0,(MAX(0,in_C01-X6)+in_H01*in_H02*MIN(in_C01,X6))*c_VST)</f>
        <v>64875.5814761732</v>
      </c>
      <c r="Y7" s="52" t="n">
        <f aca="false">IF(Y$3=0,0,(MAX(0,in_C01-Y6)+in_H01*in_H02*MIN(in_C01,Y6))*c_VST)</f>
        <v>70013.8565507959</v>
      </c>
      <c r="Z7" s="52" t="n">
        <f aca="false">IF(Z$3=0,0,(MAX(0,in_C01-Z6)+in_H01*in_H02*MIN(in_C01,Z6))*c_VST)</f>
        <v>75075.0574992992</v>
      </c>
      <c r="AA7" s="52" t="n">
        <f aca="false">IF(AA$3=0,0,(MAX(0,in_C01-AA6)+in_H01*in_H02*MIN(in_C01,AA6))*c_VST)</f>
        <v>80060.340433575</v>
      </c>
      <c r="AB7" s="52" t="n">
        <f aca="false">IF(AB$3=0,0,(MAX(0,in_C01-AB6)+in_H01*in_H02*MIN(in_C01,AB6))*c_VST)</f>
        <v>84970.8441238366</v>
      </c>
      <c r="AC7" s="52" t="n">
        <f aca="false">IF(AC$3=0,0,(MAX(0,in_C01-AC6)+in_H01*in_H02*MIN(in_C01,AC6))*c_VST)</f>
        <v>89807.6902587444</v>
      </c>
      <c r="AD7" s="52" t="n">
        <f aca="false">IF(AD$3=0,0,(MAX(0,in_C01-AD6)+in_H01*in_H02*MIN(in_C01,AD6))*c_VST)</f>
        <v>94571.9837016284</v>
      </c>
      <c r="AE7" s="52" t="n">
        <f aca="false">IF(AE$3=0,0,(MAX(0,in_C01-AE6)+in_H01*in_H02*MIN(in_C01,AE6))*c_VST)</f>
        <v>99264.8127428693</v>
      </c>
      <c r="AF7" s="52" t="n">
        <f aca="false">IF(AF$3=0,0,(MAX(0,in_C01-AF6)+in_H01*in_H02*MIN(in_C01,AF6))*c_VST)</f>
        <v>103887.249348492</v>
      </c>
      <c r="AG7" s="52" t="n">
        <f aca="false">IF(AG$3=0,0,(MAX(0,in_C01-AG6)+in_H01*in_H02*MIN(in_C01,AG6))*c_VST)</f>
        <v>108440.349405029</v>
      </c>
      <c r="AH7" s="52" t="n">
        <f aca="false">IF(AH$3=0,0,(MAX(0,in_C01-AH6)+in_H01*in_H02*MIN(in_C01,AH6))*c_VST)</f>
        <v>112925.152960719</v>
      </c>
    </row>
    <row r="9" customFormat="false" ht="15" hidden="false" customHeight="true" outlineLevel="0" collapsed="false">
      <c r="A9" s="53" t="s">
        <v>1388</v>
      </c>
    </row>
    <row r="10" customFormat="false" ht="15" hidden="false" customHeight="true" outlineLevel="0" collapsed="false">
      <c r="A10" s="33" t="s">
        <v>1389</v>
      </c>
      <c r="B10" s="54" t="n">
        <f aca="false">in_H04</f>
        <v>0.015</v>
      </c>
    </row>
    <row r="11" customFormat="false" ht="15" hidden="false" customHeight="true" outlineLevel="0" collapsed="false">
      <c r="A11" s="33" t="s">
        <v>1390</v>
      </c>
      <c r="B11" s="54" t="n">
        <f aca="false">in_P01*in_I05</f>
        <v>0.025</v>
      </c>
    </row>
    <row r="12" customFormat="false" ht="15" hidden="false" customHeight="true" outlineLevel="0" collapsed="false">
      <c r="A12" s="33" t="s">
        <v>1391</v>
      </c>
      <c r="D12" s="51" t="n">
        <f aca="false">IF(D$3=0,0,0)</f>
        <v>0</v>
      </c>
      <c r="E12" s="51" t="n">
        <f aca="false">IF(E$3=0,0,0)</f>
        <v>0</v>
      </c>
      <c r="F12" s="51" t="n">
        <f aca="false">IF(F$3=0,0,0)</f>
        <v>0</v>
      </c>
      <c r="G12" s="51" t="n">
        <f aca="false">IF(G$3=0,0,0)</f>
        <v>0</v>
      </c>
      <c r="H12" s="51" t="n">
        <f aca="false">IF(H$3=0,0,0)</f>
        <v>0</v>
      </c>
      <c r="I12" s="51" t="n">
        <f aca="false">IF(I$3=0,0,0)</f>
        <v>0</v>
      </c>
      <c r="J12" s="51" t="n">
        <f aca="false">IF(J$3=0,0,0)</f>
        <v>0</v>
      </c>
      <c r="K12" s="51" t="n">
        <f aca="false">IF(K$3=0,0,0)</f>
        <v>0</v>
      </c>
      <c r="L12" s="51" t="n">
        <f aca="false">IF(L$3=0,0,0)</f>
        <v>0</v>
      </c>
      <c r="M12" s="51" t="n">
        <f aca="false">IF(M$3=0,0,0)</f>
        <v>0</v>
      </c>
      <c r="N12" s="51" t="n">
        <f aca="false">IF(N$3=0,0,0)</f>
        <v>0</v>
      </c>
      <c r="O12" s="51" t="n">
        <f aca="false">IF(O$3=0,0,0)</f>
        <v>0</v>
      </c>
      <c r="P12" s="51" t="n">
        <f aca="false">IF(P$3=0,0,0)</f>
        <v>0</v>
      </c>
      <c r="Q12" s="51" t="n">
        <f aca="false">IF(Q$3=0,0,0)</f>
        <v>0</v>
      </c>
      <c r="R12" s="51" t="n">
        <f aca="false">IF(R$3=0,0,0)</f>
        <v>0</v>
      </c>
      <c r="S12" s="51" t="n">
        <f aca="false">IF(S$3=0,0,0)</f>
        <v>0</v>
      </c>
      <c r="T12" s="51" t="n">
        <f aca="false">IF(T$3=0,0,0)</f>
        <v>0</v>
      </c>
      <c r="U12" s="51" t="n">
        <f aca="false">IF(U$3=0,0,0)</f>
        <v>0</v>
      </c>
      <c r="V12" s="51" t="n">
        <f aca="false">IF(V$3=0,0,0)</f>
        <v>0</v>
      </c>
      <c r="W12" s="51" t="n">
        <f aca="false">IF(W$3=0,0,0)</f>
        <v>0</v>
      </c>
      <c r="X12" s="51" t="n">
        <f aca="false">IF(X$3=0,0,0)</f>
        <v>0</v>
      </c>
      <c r="Y12" s="51" t="n">
        <f aca="false">IF(Y$3=0,0,0)</f>
        <v>0</v>
      </c>
      <c r="Z12" s="51" t="n">
        <f aca="false">IF(Z$3=0,0,0)</f>
        <v>0</v>
      </c>
      <c r="AA12" s="51" t="n">
        <f aca="false">IF(AA$3=0,0,0)</f>
        <v>0</v>
      </c>
      <c r="AB12" s="51" t="n">
        <f aca="false">IF(AB$3=0,0,0)</f>
        <v>0</v>
      </c>
      <c r="AC12" s="51" t="n">
        <f aca="false">IF(AC$3=0,0,0)</f>
        <v>0</v>
      </c>
      <c r="AD12" s="51" t="n">
        <f aca="false">IF(AD$3=0,0,0)</f>
        <v>0</v>
      </c>
      <c r="AE12" s="51" t="n">
        <f aca="false">IF(AE$3=0,0,0)</f>
        <v>0</v>
      </c>
      <c r="AF12" s="51" t="n">
        <f aca="false">IF(AF$3=0,0,0)</f>
        <v>0</v>
      </c>
      <c r="AG12" s="51" t="n">
        <f aca="false">IF(AG$3=0,0,0)</f>
        <v>0</v>
      </c>
      <c r="AH12" s="51" t="n">
        <f aca="false">IF(AH$3=0,0,0)</f>
        <v>0</v>
      </c>
    </row>
    <row r="13" customFormat="false" ht="15" hidden="false" customHeight="true" outlineLevel="0" collapsed="false">
      <c r="A13" s="33" t="s">
        <v>1386</v>
      </c>
      <c r="D13" s="51" t="n">
        <f aca="false">IF(D$3=0,0,in_C01*in_C06*(1-$B$10)^D$3+D12)</f>
        <v>0</v>
      </c>
      <c r="E13" s="51" t="n">
        <f aca="false">IF(E$3=0,0,in_C01*in_C06*(1-$B$10)^E$3+E12)</f>
        <v>246.25</v>
      </c>
      <c r="F13" s="51" t="n">
        <f aca="false">IF(F$3=0,0,in_C01*in_C06*(1-$B$10)^F$3+F12)</f>
        <v>242.55625</v>
      </c>
      <c r="G13" s="51" t="n">
        <f aca="false">IF(G$3=0,0,in_C01*in_C06*(1-$B$10)^G$3+G12)</f>
        <v>238.91790625</v>
      </c>
      <c r="H13" s="51" t="n">
        <f aca="false">IF(H$3=0,0,in_C01*in_C06*(1-$B$10)^H$3+H12)</f>
        <v>235.33413765625</v>
      </c>
      <c r="I13" s="51" t="n">
        <f aca="false">IF(I$3=0,0,in_C01*in_C06*(1-$B$10)^I$3+I12)</f>
        <v>231.804125591406</v>
      </c>
      <c r="J13" s="51" t="n">
        <f aca="false">IF(J$3=0,0,in_C01*in_C06*(1-$B$10)^J$3+J12)</f>
        <v>228.327063707535</v>
      </c>
      <c r="K13" s="51" t="n">
        <f aca="false">IF(K$3=0,0,in_C01*in_C06*(1-$B$10)^K$3+K12)</f>
        <v>224.902157751922</v>
      </c>
      <c r="L13" s="51" t="n">
        <f aca="false">IF(L$3=0,0,in_C01*in_C06*(1-$B$10)^L$3+L12)</f>
        <v>221.528625385643</v>
      </c>
      <c r="M13" s="51" t="n">
        <f aca="false">IF(M$3=0,0,in_C01*in_C06*(1-$B$10)^M$3+M12)</f>
        <v>218.205696004859</v>
      </c>
      <c r="N13" s="51" t="n">
        <f aca="false">IF(N$3=0,0,in_C01*in_C06*(1-$B$10)^N$3+N12)</f>
        <v>214.932610564786</v>
      </c>
      <c r="O13" s="51" t="n">
        <f aca="false">IF(O$3=0,0,in_C01*in_C06*(1-$B$10)^O$3+O12)</f>
        <v>211.708621406314</v>
      </c>
      <c r="P13" s="51" t="n">
        <f aca="false">IF(P$3=0,0,in_C01*in_C06*(1-$B$10)^P$3+P12)</f>
        <v>208.532992085219</v>
      </c>
      <c r="Q13" s="51" t="n">
        <f aca="false">IF(Q$3=0,0,in_C01*in_C06*(1-$B$10)^Q$3+Q12)</f>
        <v>205.404997203941</v>
      </c>
      <c r="R13" s="51" t="n">
        <f aca="false">IF(R$3=0,0,in_C01*in_C06*(1-$B$10)^R$3+R12)</f>
        <v>202.323922245882</v>
      </c>
      <c r="S13" s="51" t="n">
        <f aca="false">IF(S$3=0,0,in_C01*in_C06*(1-$B$10)^S$3+S12)</f>
        <v>199.289063412194</v>
      </c>
      <c r="T13" s="51" t="n">
        <f aca="false">IF(T$3=0,0,in_C01*in_C06*(1-$B$10)^T$3+T12)</f>
        <v>196.299727461011</v>
      </c>
      <c r="U13" s="51" t="n">
        <f aca="false">IF(U$3=0,0,in_C01*in_C06*(1-$B$10)^U$3+U12)</f>
        <v>193.355231549096</v>
      </c>
      <c r="V13" s="51" t="n">
        <f aca="false">IF(V$3=0,0,in_C01*in_C06*(1-$B$10)^V$3+V12)</f>
        <v>190.454903075859</v>
      </c>
      <c r="W13" s="51" t="n">
        <f aca="false">IF(W$3=0,0,in_C01*in_C06*(1-$B$10)^W$3+W12)</f>
        <v>187.598079529721</v>
      </c>
      <c r="X13" s="51" t="n">
        <f aca="false">IF(X$3=0,0,in_C01*in_C06*(1-$B$10)^X$3+X12)</f>
        <v>184.784108336775</v>
      </c>
      <c r="Y13" s="51" t="n">
        <f aca="false">IF(Y$3=0,0,in_C01*in_C06*(1-$B$10)^Y$3+Y12)</f>
        <v>182.012346711724</v>
      </c>
      <c r="Z13" s="51" t="n">
        <f aca="false">IF(Z$3=0,0,in_C01*in_C06*(1-$B$10)^Z$3+Z12)</f>
        <v>179.282161511048</v>
      </c>
      <c r="AA13" s="51" t="n">
        <f aca="false">IF(AA$3=0,0,in_C01*in_C06*(1-$B$10)^AA$3+AA12)</f>
        <v>176.592929088382</v>
      </c>
      <c r="AB13" s="51" t="n">
        <f aca="false">IF(AB$3=0,0,in_C01*in_C06*(1-$B$10)^AB$3+AB12)</f>
        <v>173.944035152056</v>
      </c>
      <c r="AC13" s="51" t="n">
        <f aca="false">IF(AC$3=0,0,in_C01*in_C06*(1-$B$10)^AC$3+AC12)</f>
        <v>171.334874624776</v>
      </c>
      <c r="AD13" s="51" t="n">
        <f aca="false">IF(AD$3=0,0,in_C01*in_C06*(1-$B$10)^AD$3+AD12)</f>
        <v>168.764851505404</v>
      </c>
      <c r="AE13" s="51" t="n">
        <f aca="false">IF(AE$3=0,0,in_C01*in_C06*(1-$B$10)^AE$3+AE12)</f>
        <v>166.233378732823</v>
      </c>
      <c r="AF13" s="51" t="n">
        <f aca="false">IF(AF$3=0,0,in_C01*in_C06*(1-$B$10)^AF$3+AF12)</f>
        <v>163.739878051831</v>
      </c>
      <c r="AG13" s="51" t="n">
        <f aca="false">IF(AG$3=0,0,in_C01*in_C06*(1-$B$10)^AG$3+AG12)</f>
        <v>161.283779881053</v>
      </c>
      <c r="AH13" s="51" t="n">
        <f aca="false">IF(AH$3=0,0,in_C01*in_C06*(1-$B$10)^AH$3+AH12)</f>
        <v>158.864523182837</v>
      </c>
    </row>
    <row r="14" customFormat="false" ht="15" hidden="false" customHeight="true" outlineLevel="0" collapsed="false">
      <c r="A14" s="33" t="s">
        <v>1387</v>
      </c>
      <c r="D14" s="52" t="n">
        <f aca="false">IF(D$3=0,0,(MAX(0,in_C01-D13)+in_H01*in_H02*MIN(in_C01,D13)*(1-$B$11))*c_VST)</f>
        <v>0</v>
      </c>
      <c r="E14" s="52" t="n">
        <f aca="false">IF(E$3=0,0,(MAX(0,in_C01-E13)+in_H01*in_H02*MIN(in_C01,E13)*(1-$B$11))*c_VST)</f>
        <v>35751.7414610768</v>
      </c>
      <c r="F14" s="52" t="n">
        <f aca="false">IF(F$3=0,0,(MAX(0,in_C01-F13)+in_H01*in_H02*MIN(in_C01,F13)*(1-$B$11))*c_VST)</f>
        <v>35751.7414610768</v>
      </c>
      <c r="G14" s="52" t="n">
        <f aca="false">IF(G$3=0,0,(MAX(0,in_C01-G13)+in_H01*in_H02*MIN(in_C01,G13)*(1-$B$11))*c_VST)</f>
        <v>35751.7414610768</v>
      </c>
      <c r="H14" s="52" t="n">
        <f aca="false">IF(H$3=0,0,(MAX(0,in_C01-H13)+in_H01*in_H02*MIN(in_C01,H13)*(1-$B$11))*c_VST)</f>
        <v>35751.7414610768</v>
      </c>
      <c r="I14" s="52" t="n">
        <f aca="false">IF(I$3=0,0,(MAX(0,in_C01-I13)+in_H01*in_H02*MIN(in_C01,I13)*(1-$B$11))*c_VST)</f>
        <v>35751.7414610768</v>
      </c>
      <c r="J14" s="52" t="n">
        <f aca="false">IF(J$3=0,0,(MAX(0,in_C01-J13)+in_H01*in_H02*MIN(in_C01,J13)*(1-$B$11))*c_VST)</f>
        <v>35751.7414610768</v>
      </c>
      <c r="K14" s="52" t="n">
        <f aca="false">IF(K$3=0,0,(MAX(0,in_C01-K13)+in_H01*in_H02*MIN(in_C01,K13)*(1-$B$11))*c_VST)</f>
        <v>35751.7414610768</v>
      </c>
      <c r="L14" s="52" t="n">
        <f aca="false">IF(L$3=0,0,(MAX(0,in_C01-L13)+in_H01*in_H02*MIN(in_C01,L13)*(1-$B$11))*c_VST)</f>
        <v>35751.7414610768</v>
      </c>
      <c r="M14" s="52" t="n">
        <f aca="false">IF(M$3=0,0,(MAX(0,in_C01-M13)+in_H01*in_H02*MIN(in_C01,M13)*(1-$B$11))*c_VST)</f>
        <v>35751.7414610768</v>
      </c>
      <c r="N14" s="52" t="n">
        <f aca="false">IF(N$3=0,0,(MAX(0,in_C01-N13)+in_H01*in_H02*MIN(in_C01,N13)*(1-$B$11))*c_VST)</f>
        <v>35751.7414610768</v>
      </c>
      <c r="O14" s="52" t="n">
        <f aca="false">IF(O$3=0,0,(MAX(0,in_C01-O13)+in_H01*in_H02*MIN(in_C01,O13)*(1-$B$11))*c_VST)</f>
        <v>35751.7414610768</v>
      </c>
      <c r="P14" s="52" t="n">
        <f aca="false">IF(P$3=0,0,(MAX(0,in_C01-P13)+in_H01*in_H02*MIN(in_C01,P13)*(1-$B$11))*c_VST)</f>
        <v>35751.7414610768</v>
      </c>
      <c r="Q14" s="52" t="n">
        <f aca="false">IF(Q$3=0,0,(MAX(0,in_C01-Q13)+in_H01*in_H02*MIN(in_C01,Q13)*(1-$B$11))*c_VST)</f>
        <v>35751.7414610768</v>
      </c>
      <c r="R14" s="52" t="n">
        <f aca="false">IF(R$3=0,0,(MAX(0,in_C01-R13)+in_H01*in_H02*MIN(in_C01,R13)*(1-$B$11))*c_VST)</f>
        <v>35751.7414610768</v>
      </c>
      <c r="S14" s="52" t="n">
        <f aca="false">IF(S$3=0,0,(MAX(0,in_C01-S13)+in_H01*in_H02*MIN(in_C01,S13)*(1-$B$11))*c_VST)</f>
        <v>37072.9300612185</v>
      </c>
      <c r="T14" s="52" t="n">
        <f aca="false">IF(T$3=0,0,(MAX(0,in_C01-T13)+in_H01*in_H02*MIN(in_C01,T13)*(1-$B$11))*c_VST)</f>
        <v>42628.2449070655</v>
      </c>
      <c r="U14" s="52" t="n">
        <f aca="false">IF(U$3=0,0,(MAX(0,in_C01-U13)+in_H01*in_H02*MIN(in_C01,U13)*(1-$B$11))*c_VST)</f>
        <v>48100.2300302248</v>
      </c>
      <c r="V14" s="52" t="n">
        <f aca="false">IF(V$3=0,0,(MAX(0,in_C01-V13)+in_H01*in_H02*MIN(in_C01,V13)*(1-$B$11))*c_VST)</f>
        <v>53490.1353765367</v>
      </c>
      <c r="W14" s="52" t="n">
        <f aca="false">IF(W$3=0,0,(MAX(0,in_C01-W13)+in_H01*in_H02*MIN(in_C01,W13)*(1-$B$11))*c_VST)</f>
        <v>58799.1921426539</v>
      </c>
      <c r="X14" s="52" t="n">
        <f aca="false">IF(X$3=0,0,(MAX(0,in_C01-X13)+in_H01*in_H02*MIN(in_C01,X13)*(1-$B$11))*c_VST)</f>
        <v>64028.6130572794</v>
      </c>
      <c r="Y14" s="52" t="n">
        <f aca="false">IF(Y$3=0,0,(MAX(0,in_C01-Y13)+in_H01*in_H02*MIN(in_C01,Y13)*(1-$B$11))*c_VST)</f>
        <v>69179.5926581854</v>
      </c>
      <c r="Z14" s="52" t="n">
        <f aca="false">IF(Z$3=0,0,(MAX(0,in_C01-Z13)+in_H01*in_H02*MIN(in_C01,Z13)*(1-$B$11))*c_VST)</f>
        <v>74253.3075650779</v>
      </c>
      <c r="AA14" s="52" t="n">
        <f aca="false">IF(AA$3=0,0,(MAX(0,in_C01-AA13)+in_H01*in_H02*MIN(in_C01,AA13)*(1-$B$11))*c_VST)</f>
        <v>79250.9167483671</v>
      </c>
      <c r="AB14" s="52" t="n">
        <f aca="false">IF(AB$3=0,0,(MAX(0,in_C01-AB13)+in_H01*in_H02*MIN(in_C01,AB13)*(1-$B$11))*c_VST)</f>
        <v>84173.5617939068</v>
      </c>
      <c r="AC14" s="52" t="n">
        <f aca="false">IF(AC$3=0,0,(MAX(0,in_C01-AC13)+in_H01*in_H02*MIN(in_C01,AC13)*(1-$B$11))*c_VST)</f>
        <v>89022.3671637635</v>
      </c>
      <c r="AD14" s="52" t="n">
        <f aca="false">IF(AD$3=0,0,(MAX(0,in_C01-AD13)+in_H01*in_H02*MIN(in_C01,AD13)*(1-$B$11))*c_VST)</f>
        <v>93798.4404530723</v>
      </c>
      <c r="AE14" s="52" t="n">
        <f aca="false">IF(AE$3=0,0,(MAX(0,in_C01-AE13)+in_H01*in_H02*MIN(in_C01,AE13)*(1-$B$11))*c_VST)</f>
        <v>98502.8726430414</v>
      </c>
      <c r="AF14" s="52" t="n">
        <f aca="false">IF(AF$3=0,0,(MAX(0,in_C01-AF13)+in_H01*in_H02*MIN(in_C01,AF13)*(1-$B$11))*c_VST)</f>
        <v>103136.738350161</v>
      </c>
      <c r="AG14" s="52" t="n">
        <f aca="false">IF(AG$3=0,0,(MAX(0,in_C01-AG13)+in_H01*in_H02*MIN(in_C01,AG13)*(1-$B$11))*c_VST)</f>
        <v>107701.096071674</v>
      </c>
      <c r="AH14" s="52" t="n">
        <f aca="false">IF(AH$3=0,0,(MAX(0,in_C01-AH13)+in_H01*in_H02*MIN(in_C01,AH13)*(1-$B$11))*c_VST)</f>
        <v>112196.988427364</v>
      </c>
    </row>
    <row r="15" customFormat="false" ht="15" hidden="false" customHeight="true" outlineLevel="0" collapsed="false">
      <c r="A15" s="33" t="s">
        <v>1392</v>
      </c>
      <c r="D15" s="55" t="n">
        <f aca="false">D7-D14</f>
        <v>0</v>
      </c>
      <c r="E15" s="55" t="n">
        <f aca="false">E7-E14</f>
        <v>916.71131951479</v>
      </c>
      <c r="F15" s="55" t="n">
        <f aca="false">F7-F14</f>
        <v>916.71131951479</v>
      </c>
      <c r="G15" s="55" t="n">
        <f aca="false">G7-G14</f>
        <v>916.71131951479</v>
      </c>
      <c r="H15" s="55" t="n">
        <f aca="false">H7-H14</f>
        <v>916.71131951479</v>
      </c>
      <c r="I15" s="55" t="n">
        <f aca="false">I7-I14</f>
        <v>916.71131951479</v>
      </c>
      <c r="J15" s="55" t="n">
        <f aca="false">J7-J14</f>
        <v>916.71131951479</v>
      </c>
      <c r="K15" s="55" t="n">
        <f aca="false">K7-K14</f>
        <v>916.71131951479</v>
      </c>
      <c r="L15" s="55" t="n">
        <f aca="false">L7-L14</f>
        <v>916.71131951479</v>
      </c>
      <c r="M15" s="55" t="n">
        <f aca="false">M7-M14</f>
        <v>916.71131951479</v>
      </c>
      <c r="N15" s="55" t="n">
        <f aca="false">N7-N14</f>
        <v>916.71131951479</v>
      </c>
      <c r="O15" s="55" t="n">
        <f aca="false">O7-O14</f>
        <v>916.71131951479</v>
      </c>
      <c r="P15" s="55" t="n">
        <f aca="false">P7-P14</f>
        <v>916.71131951479</v>
      </c>
      <c r="Q15" s="55" t="n">
        <f aca="false">Q7-Q14</f>
        <v>916.71131951479</v>
      </c>
      <c r="R15" s="55" t="n">
        <f aca="false">R7-R14</f>
        <v>916.71131951479</v>
      </c>
      <c r="S15" s="55" t="n">
        <f aca="false">S7-S14</f>
        <v>913.45270142729</v>
      </c>
      <c r="T15" s="55" t="n">
        <f aca="false">T7-T14</f>
        <v>899.750910905881</v>
      </c>
      <c r="U15" s="55" t="n">
        <f aca="false">U7-U14</f>
        <v>886.254647242298</v>
      </c>
      <c r="V15" s="55" t="n">
        <f aca="false">V7-V14</f>
        <v>872.960827533658</v>
      </c>
      <c r="W15" s="55" t="n">
        <f aca="false">W7-W14</f>
        <v>859.866415120654</v>
      </c>
      <c r="X15" s="55" t="n">
        <f aca="false">X7-X14</f>
        <v>846.968418893848</v>
      </c>
      <c r="Y15" s="55" t="n">
        <f aca="false">Y7-Y14</f>
        <v>834.263892610441</v>
      </c>
      <c r="Z15" s="55" t="n">
        <f aca="false">Z7-Z14</f>
        <v>821.749934221283</v>
      </c>
      <c r="AA15" s="55" t="n">
        <f aca="false">AA7-AA14</f>
        <v>809.423685207948</v>
      </c>
      <c r="AB15" s="55" t="n">
        <f aca="false">AB7-AB14</f>
        <v>797.282329929847</v>
      </c>
      <c r="AC15" s="55" t="n">
        <f aca="false">AC7-AC14</f>
        <v>785.323094980893</v>
      </c>
      <c r="AD15" s="55" t="n">
        <f aca="false">AD7-AD14</f>
        <v>773.543248556176</v>
      </c>
      <c r="AE15" s="55" t="n">
        <f aca="false">AE7-AE14</f>
        <v>761.940099827829</v>
      </c>
      <c r="AF15" s="55" t="n">
        <f aca="false">AF7-AF14</f>
        <v>750.510998330428</v>
      </c>
      <c r="AG15" s="55" t="n">
        <f aca="false">AG7-AG14</f>
        <v>739.253333355475</v>
      </c>
      <c r="AH15" s="55" t="n">
        <f aca="false">AH7-AH14</f>
        <v>728.164533355128</v>
      </c>
    </row>
    <row r="16" customFormat="false" ht="15" hidden="false" customHeight="true" outlineLevel="0" collapsed="false">
      <c r="A16" s="53" t="s">
        <v>371</v>
      </c>
    </row>
    <row r="17" customFormat="false" ht="15" hidden="false" customHeight="true" outlineLevel="0" collapsed="false">
      <c r="A17" s="33" t="s">
        <v>1389</v>
      </c>
      <c r="B17" s="54" t="n">
        <f aca="false">in_H04</f>
        <v>0.015</v>
      </c>
    </row>
    <row r="18" customFormat="false" ht="15" hidden="false" customHeight="true" outlineLevel="0" collapsed="false">
      <c r="A18" s="33" t="s">
        <v>1390</v>
      </c>
      <c r="B18" s="54" t="n">
        <f aca="false">c_api_share*in_A07*in_H03</f>
        <v>0.00348716784548467</v>
      </c>
    </row>
    <row r="19" customFormat="false" ht="15" hidden="false" customHeight="true" outlineLevel="0" collapsed="false">
      <c r="A19" s="33" t="s">
        <v>1391</v>
      </c>
      <c r="D19" s="51" t="n">
        <f aca="false">IF(D$3=0,0,in_A06*c_api_share*D6)</f>
        <v>0</v>
      </c>
      <c r="E19" s="51" t="n">
        <f aca="false">IF(E$3=0,0,in_A06*c_api_share*E6)</f>
        <v>0</v>
      </c>
      <c r="F19" s="51" t="n">
        <f aca="false">IF(F$3=0,0,in_A06*c_api_share*F6)</f>
        <v>0</v>
      </c>
      <c r="G19" s="51" t="n">
        <f aca="false">IF(G$3=0,0,in_A06*c_api_share*G6)</f>
        <v>0</v>
      </c>
      <c r="H19" s="51" t="n">
        <f aca="false">IF(H$3=0,0,in_A06*c_api_share*H6)</f>
        <v>0</v>
      </c>
      <c r="I19" s="51" t="n">
        <f aca="false">IF(I$3=0,0,in_A06*c_api_share*I6)</f>
        <v>0</v>
      </c>
      <c r="J19" s="51" t="n">
        <f aca="false">IF(J$3=0,0,in_A06*c_api_share*J6)</f>
        <v>0</v>
      </c>
      <c r="K19" s="51" t="n">
        <f aca="false">IF(K$3=0,0,in_A06*c_api_share*K6)</f>
        <v>0</v>
      </c>
      <c r="L19" s="51" t="n">
        <f aca="false">IF(L$3=0,0,in_A06*c_api_share*L6)</f>
        <v>0</v>
      </c>
      <c r="M19" s="51" t="n">
        <f aca="false">IF(M$3=0,0,in_A06*c_api_share*M6)</f>
        <v>0</v>
      </c>
      <c r="N19" s="51" t="n">
        <f aca="false">IF(N$3=0,0,in_A06*c_api_share*N6)</f>
        <v>0</v>
      </c>
      <c r="O19" s="51" t="n">
        <f aca="false">IF(O$3=0,0,in_A06*c_api_share*O6)</f>
        <v>0</v>
      </c>
      <c r="P19" s="51" t="n">
        <f aca="false">IF(P$3=0,0,in_A06*c_api_share*P6)</f>
        <v>0</v>
      </c>
      <c r="Q19" s="51" t="n">
        <f aca="false">IF(Q$3=0,0,in_A06*c_api_share*Q6)</f>
        <v>0</v>
      </c>
      <c r="R19" s="51" t="n">
        <f aca="false">IF(R$3=0,0,in_A06*c_api_share*R6)</f>
        <v>0</v>
      </c>
      <c r="S19" s="51" t="n">
        <f aca="false">IF(S$3=0,0,in_A06*c_api_share*S6)</f>
        <v>0</v>
      </c>
      <c r="T19" s="51" t="n">
        <f aca="false">IF(T$3=0,0,in_A06*c_api_share*T6)</f>
        <v>0</v>
      </c>
      <c r="U19" s="51" t="n">
        <f aca="false">IF(U$3=0,0,in_A06*c_api_share*U6)</f>
        <v>0</v>
      </c>
      <c r="V19" s="51" t="n">
        <f aca="false">IF(V$3=0,0,in_A06*c_api_share*V6)</f>
        <v>0</v>
      </c>
      <c r="W19" s="51" t="n">
        <f aca="false">IF(W$3=0,0,in_A06*c_api_share*W6)</f>
        <v>0</v>
      </c>
      <c r="X19" s="51" t="n">
        <f aca="false">IF(X$3=0,0,in_A06*c_api_share*X6)</f>
        <v>0</v>
      </c>
      <c r="Y19" s="51" t="n">
        <f aca="false">IF(Y$3=0,0,in_A06*c_api_share*Y6)</f>
        <v>0</v>
      </c>
      <c r="Z19" s="51" t="n">
        <f aca="false">IF(Z$3=0,0,in_A06*c_api_share*Z6)</f>
        <v>0</v>
      </c>
      <c r="AA19" s="51" t="n">
        <f aca="false">IF(AA$3=0,0,in_A06*c_api_share*AA6)</f>
        <v>0</v>
      </c>
      <c r="AB19" s="51" t="n">
        <f aca="false">IF(AB$3=0,0,in_A06*c_api_share*AB6)</f>
        <v>0</v>
      </c>
      <c r="AC19" s="51" t="n">
        <f aca="false">IF(AC$3=0,0,in_A06*c_api_share*AC6)</f>
        <v>0</v>
      </c>
      <c r="AD19" s="51" t="n">
        <f aca="false">IF(AD$3=0,0,in_A06*c_api_share*AD6)</f>
        <v>0</v>
      </c>
      <c r="AE19" s="51" t="n">
        <f aca="false">IF(AE$3=0,0,in_A06*c_api_share*AE6)</f>
        <v>0</v>
      </c>
      <c r="AF19" s="51" t="n">
        <f aca="false">IF(AF$3=0,0,in_A06*c_api_share*AF6)</f>
        <v>0</v>
      </c>
      <c r="AG19" s="51" t="n">
        <f aca="false">IF(AG$3=0,0,in_A06*c_api_share*AG6)</f>
        <v>0</v>
      </c>
      <c r="AH19" s="51" t="n">
        <f aca="false">IF(AH$3=0,0,in_A06*c_api_share*AH6)</f>
        <v>0</v>
      </c>
    </row>
    <row r="20" customFormat="false" ht="15" hidden="false" customHeight="true" outlineLevel="0" collapsed="false">
      <c r="A20" s="33" t="s">
        <v>1386</v>
      </c>
      <c r="D20" s="51" t="n">
        <f aca="false">IF(D$3=0,0,in_C01*in_C06*(1-$B$17)^D$3+D19)</f>
        <v>0</v>
      </c>
      <c r="E20" s="51" t="n">
        <f aca="false">IF(E$3=0,0,in_C01*in_C06*(1-$B$17)^E$3+E19)</f>
        <v>246.25</v>
      </c>
      <c r="F20" s="51" t="n">
        <f aca="false">IF(F$3=0,0,in_C01*in_C06*(1-$B$17)^F$3+F19)</f>
        <v>242.55625</v>
      </c>
      <c r="G20" s="51" t="n">
        <f aca="false">IF(G$3=0,0,in_C01*in_C06*(1-$B$17)^G$3+G19)</f>
        <v>238.91790625</v>
      </c>
      <c r="H20" s="51" t="n">
        <f aca="false">IF(H$3=0,0,in_C01*in_C06*(1-$B$17)^H$3+H19)</f>
        <v>235.33413765625</v>
      </c>
      <c r="I20" s="51" t="n">
        <f aca="false">IF(I$3=0,0,in_C01*in_C06*(1-$B$17)^I$3+I19)</f>
        <v>231.804125591406</v>
      </c>
      <c r="J20" s="51" t="n">
        <f aca="false">IF(J$3=0,0,in_C01*in_C06*(1-$B$17)^J$3+J19)</f>
        <v>228.327063707535</v>
      </c>
      <c r="K20" s="51" t="n">
        <f aca="false">IF(K$3=0,0,in_C01*in_C06*(1-$B$17)^K$3+K19)</f>
        <v>224.902157751922</v>
      </c>
      <c r="L20" s="51" t="n">
        <f aca="false">IF(L$3=0,0,in_C01*in_C06*(1-$B$17)^L$3+L19)</f>
        <v>221.528625385643</v>
      </c>
      <c r="M20" s="51" t="n">
        <f aca="false">IF(M$3=0,0,in_C01*in_C06*(1-$B$17)^M$3+M19)</f>
        <v>218.205696004859</v>
      </c>
      <c r="N20" s="51" t="n">
        <f aca="false">IF(N$3=0,0,in_C01*in_C06*(1-$B$17)^N$3+N19)</f>
        <v>214.932610564786</v>
      </c>
      <c r="O20" s="51" t="n">
        <f aca="false">IF(O$3=0,0,in_C01*in_C06*(1-$B$17)^O$3+O19)</f>
        <v>211.708621406314</v>
      </c>
      <c r="P20" s="51" t="n">
        <f aca="false">IF(P$3=0,0,in_C01*in_C06*(1-$B$17)^P$3+P19)</f>
        <v>208.532992085219</v>
      </c>
      <c r="Q20" s="51" t="n">
        <f aca="false">IF(Q$3=0,0,in_C01*in_C06*(1-$B$17)^Q$3+Q19)</f>
        <v>205.404997203941</v>
      </c>
      <c r="R20" s="51" t="n">
        <f aca="false">IF(R$3=0,0,in_C01*in_C06*(1-$B$17)^R$3+R19)</f>
        <v>202.323922245882</v>
      </c>
      <c r="S20" s="51" t="n">
        <f aca="false">IF(S$3=0,0,in_C01*in_C06*(1-$B$17)^S$3+S19)</f>
        <v>199.289063412194</v>
      </c>
      <c r="T20" s="51" t="n">
        <f aca="false">IF(T$3=0,0,in_C01*in_C06*(1-$B$17)^T$3+T19)</f>
        <v>196.299727461011</v>
      </c>
      <c r="U20" s="51" t="n">
        <f aca="false">IF(U$3=0,0,in_C01*in_C06*(1-$B$17)^U$3+U19)</f>
        <v>193.355231549096</v>
      </c>
      <c r="V20" s="51" t="n">
        <f aca="false">IF(V$3=0,0,in_C01*in_C06*(1-$B$17)^V$3+V19)</f>
        <v>190.454903075859</v>
      </c>
      <c r="W20" s="51" t="n">
        <f aca="false">IF(W$3=0,0,in_C01*in_C06*(1-$B$17)^W$3+W19)</f>
        <v>187.598079529721</v>
      </c>
      <c r="X20" s="51" t="n">
        <f aca="false">IF(X$3=0,0,in_C01*in_C06*(1-$B$17)^X$3+X19)</f>
        <v>184.784108336775</v>
      </c>
      <c r="Y20" s="51" t="n">
        <f aca="false">IF(Y$3=0,0,in_C01*in_C06*(1-$B$17)^Y$3+Y19)</f>
        <v>182.012346711724</v>
      </c>
      <c r="Z20" s="51" t="n">
        <f aca="false">IF(Z$3=0,0,in_C01*in_C06*(1-$B$17)^Z$3+Z19)</f>
        <v>179.282161511048</v>
      </c>
      <c r="AA20" s="51" t="n">
        <f aca="false">IF(AA$3=0,0,in_C01*in_C06*(1-$B$17)^AA$3+AA19)</f>
        <v>176.592929088382</v>
      </c>
      <c r="AB20" s="51" t="n">
        <f aca="false">IF(AB$3=0,0,in_C01*in_C06*(1-$B$17)^AB$3+AB19)</f>
        <v>173.944035152056</v>
      </c>
      <c r="AC20" s="51" t="n">
        <f aca="false">IF(AC$3=0,0,in_C01*in_C06*(1-$B$17)^AC$3+AC19)</f>
        <v>171.334874624776</v>
      </c>
      <c r="AD20" s="51" t="n">
        <f aca="false">IF(AD$3=0,0,in_C01*in_C06*(1-$B$17)^AD$3+AD19)</f>
        <v>168.764851505404</v>
      </c>
      <c r="AE20" s="51" t="n">
        <f aca="false">IF(AE$3=0,0,in_C01*in_C06*(1-$B$17)^AE$3+AE19)</f>
        <v>166.233378732823</v>
      </c>
      <c r="AF20" s="51" t="n">
        <f aca="false">IF(AF$3=0,0,in_C01*in_C06*(1-$B$17)^AF$3+AF19)</f>
        <v>163.739878051831</v>
      </c>
      <c r="AG20" s="51" t="n">
        <f aca="false">IF(AG$3=0,0,in_C01*in_C06*(1-$B$17)^AG$3+AG19)</f>
        <v>161.283779881053</v>
      </c>
      <c r="AH20" s="51" t="n">
        <f aca="false">IF(AH$3=0,0,in_C01*in_C06*(1-$B$17)^AH$3+AH19)</f>
        <v>158.864523182837</v>
      </c>
    </row>
    <row r="21" customFormat="false" ht="15" hidden="false" customHeight="true" outlineLevel="0" collapsed="false">
      <c r="A21" s="33" t="s">
        <v>1387</v>
      </c>
      <c r="D21" s="52" t="n">
        <f aca="false">IF(D$3=0,0,(MAX(0,in_C01-D20)+in_H01*in_H02*MIN(in_C01,D20)*(1-$B$18))*c_VST)</f>
        <v>0</v>
      </c>
      <c r="E21" s="52" t="n">
        <f aca="false">IF(E$3=0,0,(MAX(0,in_C01-E20)+in_H01*in_H02*MIN(in_C01,E20)*(1-$B$18))*c_VST)</f>
        <v>36540.5837311114</v>
      </c>
      <c r="F21" s="52" t="n">
        <f aca="false">IF(F$3=0,0,(MAX(0,in_C01-F20)+in_H01*in_H02*MIN(in_C01,F20)*(1-$B$18))*c_VST)</f>
        <v>36540.5837311114</v>
      </c>
      <c r="G21" s="52" t="n">
        <f aca="false">IF(G$3=0,0,(MAX(0,in_C01-G20)+in_H01*in_H02*MIN(in_C01,G20)*(1-$B$18))*c_VST)</f>
        <v>36540.5837311114</v>
      </c>
      <c r="H21" s="52" t="n">
        <f aca="false">IF(H$3=0,0,(MAX(0,in_C01-H20)+in_H01*in_H02*MIN(in_C01,H20)*(1-$B$18))*c_VST)</f>
        <v>36540.5837311114</v>
      </c>
      <c r="I21" s="52" t="n">
        <f aca="false">IF(I$3=0,0,(MAX(0,in_C01-I20)+in_H01*in_H02*MIN(in_C01,I20)*(1-$B$18))*c_VST)</f>
        <v>36540.5837311114</v>
      </c>
      <c r="J21" s="52" t="n">
        <f aca="false">IF(J$3=0,0,(MAX(0,in_C01-J20)+in_H01*in_H02*MIN(in_C01,J20)*(1-$B$18))*c_VST)</f>
        <v>36540.5837311114</v>
      </c>
      <c r="K21" s="52" t="n">
        <f aca="false">IF(K$3=0,0,(MAX(0,in_C01-K20)+in_H01*in_H02*MIN(in_C01,K20)*(1-$B$18))*c_VST)</f>
        <v>36540.5837311114</v>
      </c>
      <c r="L21" s="52" t="n">
        <f aca="false">IF(L$3=0,0,(MAX(0,in_C01-L20)+in_H01*in_H02*MIN(in_C01,L20)*(1-$B$18))*c_VST)</f>
        <v>36540.5837311114</v>
      </c>
      <c r="M21" s="52" t="n">
        <f aca="false">IF(M$3=0,0,(MAX(0,in_C01-M20)+in_H01*in_H02*MIN(in_C01,M20)*(1-$B$18))*c_VST)</f>
        <v>36540.5837311114</v>
      </c>
      <c r="N21" s="52" t="n">
        <f aca="false">IF(N$3=0,0,(MAX(0,in_C01-N20)+in_H01*in_H02*MIN(in_C01,N20)*(1-$B$18))*c_VST)</f>
        <v>36540.5837311114</v>
      </c>
      <c r="O21" s="52" t="n">
        <f aca="false">IF(O$3=0,0,(MAX(0,in_C01-O20)+in_H01*in_H02*MIN(in_C01,O20)*(1-$B$18))*c_VST)</f>
        <v>36540.5837311114</v>
      </c>
      <c r="P21" s="52" t="n">
        <f aca="false">IF(P$3=0,0,(MAX(0,in_C01-P20)+in_H01*in_H02*MIN(in_C01,P20)*(1-$B$18))*c_VST)</f>
        <v>36540.5837311114</v>
      </c>
      <c r="Q21" s="52" t="n">
        <f aca="false">IF(Q$3=0,0,(MAX(0,in_C01-Q20)+in_H01*in_H02*MIN(in_C01,Q20)*(1-$B$18))*c_VST)</f>
        <v>36540.5837311114</v>
      </c>
      <c r="R21" s="52" t="n">
        <f aca="false">IF(R$3=0,0,(MAX(0,in_C01-R20)+in_H01*in_H02*MIN(in_C01,R20)*(1-$B$18))*c_VST)</f>
        <v>36540.5837311114</v>
      </c>
      <c r="S21" s="52" t="n">
        <f aca="false">IF(S$3=0,0,(MAX(0,in_C01-S20)+in_H01*in_H02*MIN(in_C01,S20)*(1-$B$18))*c_VST)</f>
        <v>37858.9682470943</v>
      </c>
      <c r="T21" s="52" t="n">
        <f aca="false">IF(T$3=0,0,(MAX(0,in_C01-T20)+in_H01*in_H02*MIN(in_C01,T20)*(1-$B$18))*c_VST)</f>
        <v>43402.4925201531</v>
      </c>
      <c r="U21" s="52" t="n">
        <f aca="false">IF(U$3=0,0,(MAX(0,in_C01-U20)+in_H01*in_H02*MIN(in_C01,U20)*(1-$B$18))*c_VST)</f>
        <v>48862.8639291161</v>
      </c>
      <c r="V21" s="52" t="n">
        <f aca="false">IF(V$3=0,0,(MAX(0,in_C01-V20)+in_H01*in_H02*MIN(in_C01,V20)*(1-$B$18))*c_VST)</f>
        <v>54241.3297669446</v>
      </c>
      <c r="W21" s="52" t="n">
        <f aca="false">IF(W$3=0,0,(MAX(0,in_C01-W20)+in_H01*in_H02*MIN(in_C01,W20)*(1-$B$18))*c_VST)</f>
        <v>59539.1186172057</v>
      </c>
      <c r="X21" s="52" t="n">
        <f aca="false">IF(X$3=0,0,(MAX(0,in_C01-X20)+in_H01*in_H02*MIN(in_C01,X20)*(1-$B$18))*c_VST)</f>
        <v>64757.4406347129</v>
      </c>
      <c r="Y21" s="52" t="n">
        <f aca="false">IF(Y$3=0,0,(MAX(0,in_C01-Y20)+in_H01*in_H02*MIN(in_C01,Y20)*(1-$B$18))*c_VST)</f>
        <v>69897.4878219575</v>
      </c>
      <c r="Z21" s="52" t="n">
        <f aca="false">IF(Z$3=0,0,(MAX(0,in_C01-Z20)+in_H01*in_H02*MIN(in_C01,Z20)*(1-$B$18))*c_VST)</f>
        <v>74960.4343013934</v>
      </c>
      <c r="AA21" s="52" t="n">
        <f aca="false">IF(AA$3=0,0,(MAX(0,in_C01-AA20)+in_H01*in_H02*MIN(in_C01,AA20)*(1-$B$18))*c_VST)</f>
        <v>79947.4365836378</v>
      </c>
      <c r="AB21" s="52" t="n">
        <f aca="false">IF(AB$3=0,0,(MAX(0,in_C01-AB20)+in_H01*in_H02*MIN(in_C01,AB20)*(1-$B$18))*c_VST)</f>
        <v>84859.6338316485</v>
      </c>
      <c r="AC21" s="52" t="n">
        <f aca="false">IF(AC$3=0,0,(MAX(0,in_C01-AC20)+in_H01*in_H02*MIN(in_C01,AC20)*(1-$B$18))*c_VST)</f>
        <v>89698.148120939</v>
      </c>
      <c r="AD21" s="52" t="n">
        <f aca="false">IF(AD$3=0,0,(MAX(0,in_C01-AD20)+in_H01*in_H02*MIN(in_C01,AD20)*(1-$B$18))*c_VST)</f>
        <v>94464.0846958902</v>
      </c>
      <c r="AE21" s="52" t="n">
        <f aca="false">IF(AE$3=0,0,(MAX(0,in_C01-AE20)+in_H01*in_H02*MIN(in_C01,AE20)*(1-$B$18))*c_VST)</f>
        <v>99158.5322222171</v>
      </c>
      <c r="AF21" s="52" t="n">
        <f aca="false">IF(AF$3=0,0,(MAX(0,in_C01-AF20)+in_H01*in_H02*MIN(in_C01,AF20)*(1-$B$18))*c_VST)</f>
        <v>103782.563035649</v>
      </c>
      <c r="AG21" s="52" t="n">
        <f aca="false">IF(AG$3=0,0,(MAX(0,in_C01-AG20)+in_H01*in_H02*MIN(in_C01,AG20)*(1-$B$18))*c_VST)</f>
        <v>108337.23338688</v>
      </c>
      <c r="AH21" s="52" t="n">
        <f aca="false">IF(AH$3=0,0,(MAX(0,in_C01-AH20)+in_H01*in_H02*MIN(in_C01,AH20)*(1-$B$18))*c_VST)</f>
        <v>112823.583682842</v>
      </c>
    </row>
    <row r="22" customFormat="false" ht="15" hidden="false" customHeight="true" outlineLevel="0" collapsed="false">
      <c r="A22" s="33" t="s">
        <v>1392</v>
      </c>
      <c r="D22" s="55" t="n">
        <f aca="false">D7-D21</f>
        <v>0</v>
      </c>
      <c r="E22" s="55" t="n">
        <f aca="false">E7-E21</f>
        <v>127.869049480156</v>
      </c>
      <c r="F22" s="55" t="n">
        <f aca="false">F7-F21</f>
        <v>127.869049480156</v>
      </c>
      <c r="G22" s="55" t="n">
        <f aca="false">G7-G21</f>
        <v>127.869049480156</v>
      </c>
      <c r="H22" s="55" t="n">
        <f aca="false">H7-H21</f>
        <v>127.869049480156</v>
      </c>
      <c r="I22" s="55" t="n">
        <f aca="false">I7-I21</f>
        <v>127.869049480156</v>
      </c>
      <c r="J22" s="55" t="n">
        <f aca="false">J7-J21</f>
        <v>127.869049480156</v>
      </c>
      <c r="K22" s="55" t="n">
        <f aca="false">K7-K21</f>
        <v>127.869049480156</v>
      </c>
      <c r="L22" s="55" t="n">
        <f aca="false">L7-L21</f>
        <v>127.869049480156</v>
      </c>
      <c r="M22" s="55" t="n">
        <f aca="false">M7-M21</f>
        <v>127.869049480156</v>
      </c>
      <c r="N22" s="55" t="n">
        <f aca="false">N7-N21</f>
        <v>127.869049480156</v>
      </c>
      <c r="O22" s="55" t="n">
        <f aca="false">O7-O21</f>
        <v>127.869049480156</v>
      </c>
      <c r="P22" s="55" t="n">
        <f aca="false">P7-P21</f>
        <v>127.869049480156</v>
      </c>
      <c r="Q22" s="55" t="n">
        <f aca="false">Q7-Q21</f>
        <v>127.869049480156</v>
      </c>
      <c r="R22" s="55" t="n">
        <f aca="false">R7-R21</f>
        <v>127.869049480156</v>
      </c>
      <c r="S22" s="55" t="n">
        <f aca="false">S7-S21</f>
        <v>127.414515551536</v>
      </c>
      <c r="T22" s="55" t="n">
        <f aca="false">T7-T21</f>
        <v>125.503297818264</v>
      </c>
      <c r="U22" s="55" t="n">
        <f aca="false">U7-U21</f>
        <v>123.620748350986</v>
      </c>
      <c r="V22" s="55" t="n">
        <f aca="false">V7-V21</f>
        <v>121.76643712572</v>
      </c>
      <c r="W22" s="55" t="n">
        <f aca="false">W7-W21</f>
        <v>119.939940568838</v>
      </c>
      <c r="X22" s="55" t="n">
        <f aca="false">X7-X21</f>
        <v>118.140841460307</v>
      </c>
      <c r="Y22" s="55" t="n">
        <f aca="false">Y7-Y21</f>
        <v>116.36872883841</v>
      </c>
      <c r="Z22" s="55" t="n">
        <f aca="false">Z7-Z21</f>
        <v>114.623197905821</v>
      </c>
      <c r="AA22" s="55" t="n">
        <f aca="false">AA7-AA21</f>
        <v>112.903849937225</v>
      </c>
      <c r="AB22" s="55" t="n">
        <f aca="false">AB7-AB21</f>
        <v>111.210292188174</v>
      </c>
      <c r="AC22" s="55" t="n">
        <f aca="false">AC7-AC21</f>
        <v>109.542137805358</v>
      </c>
      <c r="AD22" s="55" t="n">
        <f aca="false">AD7-AD21</f>
        <v>107.899005738276</v>
      </c>
      <c r="AE22" s="55" t="n">
        <f aca="false">AE7-AE21</f>
        <v>106.280520652203</v>
      </c>
      <c r="AF22" s="55" t="n">
        <f aca="false">AF7-AF21</f>
        <v>104.686312842416</v>
      </c>
      <c r="AG22" s="55" t="n">
        <f aca="false">AG7-AG21</f>
        <v>103.116018149798</v>
      </c>
      <c r="AH22" s="55" t="n">
        <f aca="false">AH7-AH21</f>
        <v>101.569277877526</v>
      </c>
    </row>
    <row r="23" customFormat="false" ht="15" hidden="false" customHeight="true" outlineLevel="0" collapsed="false">
      <c r="A23" s="53" t="s">
        <v>444</v>
      </c>
    </row>
    <row r="24" customFormat="false" ht="15" hidden="false" customHeight="true" outlineLevel="0" collapsed="false">
      <c r="A24" s="33" t="s">
        <v>1389</v>
      </c>
      <c r="B24" s="54" t="n">
        <f aca="false">in_H04</f>
        <v>0.015</v>
      </c>
    </row>
    <row r="25" customFormat="false" ht="15" hidden="false" customHeight="true" outlineLevel="0" collapsed="false">
      <c r="A25" s="33" t="s">
        <v>1390</v>
      </c>
      <c r="B25" s="54" t="n">
        <v>0</v>
      </c>
    </row>
    <row r="26" customFormat="false" ht="15" hidden="false" customHeight="true" outlineLevel="0" collapsed="false">
      <c r="A26" s="33" t="s">
        <v>1391</v>
      </c>
      <c r="D26" s="51" t="n">
        <f aca="false">IF(D$3=0,0,in_R07*in_R03*in_R05/1000*in_C13*MIN(1,MAX(0,(D$3-in_R04a)/(in_R04b-in_R04a)))*in_R06)</f>
        <v>0</v>
      </c>
      <c r="E26" s="51" t="n">
        <f aca="false">IF(E$3=0,0,in_R07*in_R03*in_R05/1000*in_C13*MIN(1,MAX(0,(E$3-in_R04a)/(in_R04b-in_R04a)))*in_R06)</f>
        <v>0</v>
      </c>
      <c r="F26" s="51" t="n">
        <f aca="false">IF(F$3=0,0,in_R07*in_R03*in_R05/1000*in_C13*MIN(1,MAX(0,(F$3-in_R04a)/(in_R04b-in_R04a)))*in_R06)</f>
        <v>0</v>
      </c>
      <c r="G26" s="51" t="n">
        <f aca="false">IF(G$3=0,0,in_R07*in_R03*in_R05/1000*in_C13*MIN(1,MAX(0,(G$3-in_R04a)/(in_R04b-in_R04a)))*in_R06)</f>
        <v>0</v>
      </c>
      <c r="H26" s="51" t="n">
        <f aca="false">IF(H$3=0,0,in_R07*in_R03*in_R05/1000*in_C13*MIN(1,MAX(0,(H$3-in_R04a)/(in_R04b-in_R04a)))*in_R06)</f>
        <v>0</v>
      </c>
      <c r="I26" s="51" t="n">
        <f aca="false">IF(I$3=0,0,in_R07*in_R03*in_R05/1000*in_C13*MIN(1,MAX(0,(I$3-in_R04a)/(in_R04b-in_R04a)))*in_R06)</f>
        <v>0</v>
      </c>
      <c r="J26" s="51" t="n">
        <f aca="false">IF(J$3=0,0,in_R07*in_R03*in_R05/1000*in_C13*MIN(1,MAX(0,(J$3-in_R04a)/(in_R04b-in_R04a)))*in_R06)</f>
        <v>0</v>
      </c>
      <c r="K26" s="51" t="n">
        <f aca="false">IF(K$3=0,0,in_R07*in_R03*in_R05/1000*in_C13*MIN(1,MAX(0,(K$3-in_R04a)/(in_R04b-in_R04a)))*in_R06)</f>
        <v>0.296</v>
      </c>
      <c r="L26" s="51" t="n">
        <f aca="false">IF(L$3=0,0,in_R07*in_R03*in_R05/1000*in_C13*MIN(1,MAX(0,(L$3-in_R04a)/(in_R04b-in_R04a)))*in_R06)</f>
        <v>0.592</v>
      </c>
      <c r="M26" s="51" t="n">
        <f aca="false">IF(M$3=0,0,in_R07*in_R03*in_R05/1000*in_C13*MIN(1,MAX(0,(M$3-in_R04a)/(in_R04b-in_R04a)))*in_R06)</f>
        <v>0.888</v>
      </c>
      <c r="N26" s="51" t="n">
        <f aca="false">IF(N$3=0,0,in_R07*in_R03*in_R05/1000*in_C13*MIN(1,MAX(0,(N$3-in_R04a)/(in_R04b-in_R04a)))*in_R06)</f>
        <v>1.184</v>
      </c>
      <c r="O26" s="51" t="n">
        <f aca="false">IF(O$3=0,0,in_R07*in_R03*in_R05/1000*in_C13*MIN(1,MAX(0,(O$3-in_R04a)/(in_R04b-in_R04a)))*in_R06)</f>
        <v>1.48</v>
      </c>
      <c r="P26" s="51" t="n">
        <f aca="false">IF(P$3=0,0,in_R07*in_R03*in_R05/1000*in_C13*MIN(1,MAX(0,(P$3-in_R04a)/(in_R04b-in_R04a)))*in_R06)</f>
        <v>1.776</v>
      </c>
      <c r="Q26" s="51" t="n">
        <f aca="false">IF(Q$3=0,0,in_R07*in_R03*in_R05/1000*in_C13*MIN(1,MAX(0,(Q$3-in_R04a)/(in_R04b-in_R04a)))*in_R06)</f>
        <v>2.072</v>
      </c>
      <c r="R26" s="51" t="n">
        <f aca="false">IF(R$3=0,0,in_R07*in_R03*in_R05/1000*in_C13*MIN(1,MAX(0,(R$3-in_R04a)/(in_R04b-in_R04a)))*in_R06)</f>
        <v>2.368</v>
      </c>
      <c r="S26" s="51" t="n">
        <f aca="false">IF(S$3=0,0,in_R07*in_R03*in_R05/1000*in_C13*MIN(1,MAX(0,(S$3-in_R04a)/(in_R04b-in_R04a)))*in_R06)</f>
        <v>2.368</v>
      </c>
      <c r="T26" s="51" t="n">
        <f aca="false">IF(T$3=0,0,in_R07*in_R03*in_R05/1000*in_C13*MIN(1,MAX(0,(T$3-in_R04a)/(in_R04b-in_R04a)))*in_R06)</f>
        <v>2.368</v>
      </c>
      <c r="U26" s="51" t="n">
        <f aca="false">IF(U$3=0,0,in_R07*in_R03*in_R05/1000*in_C13*MIN(1,MAX(0,(U$3-in_R04a)/(in_R04b-in_R04a)))*in_R06)</f>
        <v>2.368</v>
      </c>
      <c r="V26" s="51" t="n">
        <f aca="false">IF(V$3=0,0,in_R07*in_R03*in_R05/1000*in_C13*MIN(1,MAX(0,(V$3-in_R04a)/(in_R04b-in_R04a)))*in_R06)</f>
        <v>2.368</v>
      </c>
      <c r="W26" s="51" t="n">
        <f aca="false">IF(W$3=0,0,in_R07*in_R03*in_R05/1000*in_C13*MIN(1,MAX(0,(W$3-in_R04a)/(in_R04b-in_R04a)))*in_R06)</f>
        <v>2.368</v>
      </c>
      <c r="X26" s="51" t="n">
        <f aca="false">IF(X$3=0,0,in_R07*in_R03*in_R05/1000*in_C13*MIN(1,MAX(0,(X$3-in_R04a)/(in_R04b-in_R04a)))*in_R06)</f>
        <v>2.368</v>
      </c>
      <c r="Y26" s="51" t="n">
        <f aca="false">IF(Y$3=0,0,in_R07*in_R03*in_R05/1000*in_C13*MIN(1,MAX(0,(Y$3-in_R04a)/(in_R04b-in_R04a)))*in_R06)</f>
        <v>2.368</v>
      </c>
      <c r="Z26" s="51" t="n">
        <f aca="false">IF(Z$3=0,0,in_R07*in_R03*in_R05/1000*in_C13*MIN(1,MAX(0,(Z$3-in_R04a)/(in_R04b-in_R04a)))*in_R06)</f>
        <v>2.368</v>
      </c>
      <c r="AA26" s="51" t="n">
        <f aca="false">IF(AA$3=0,0,in_R07*in_R03*in_R05/1000*in_C13*MIN(1,MAX(0,(AA$3-in_R04a)/(in_R04b-in_R04a)))*in_R06)</f>
        <v>2.368</v>
      </c>
      <c r="AB26" s="51" t="n">
        <f aca="false">IF(AB$3=0,0,in_R07*in_R03*in_R05/1000*in_C13*MIN(1,MAX(0,(AB$3-in_R04a)/(in_R04b-in_R04a)))*in_R06)</f>
        <v>2.368</v>
      </c>
      <c r="AC26" s="51" t="n">
        <f aca="false">IF(AC$3=0,0,in_R07*in_R03*in_R05/1000*in_C13*MIN(1,MAX(0,(AC$3-in_R04a)/(in_R04b-in_R04a)))*in_R06)</f>
        <v>2.368</v>
      </c>
      <c r="AD26" s="51" t="n">
        <f aca="false">IF(AD$3=0,0,in_R07*in_R03*in_R05/1000*in_C13*MIN(1,MAX(0,(AD$3-in_R04a)/(in_R04b-in_R04a)))*in_R06)</f>
        <v>2.368</v>
      </c>
      <c r="AE26" s="51" t="n">
        <f aca="false">IF(AE$3=0,0,in_R07*in_R03*in_R05/1000*in_C13*MIN(1,MAX(0,(AE$3-in_R04a)/(in_R04b-in_R04a)))*in_R06)</f>
        <v>2.368</v>
      </c>
      <c r="AF26" s="51" t="n">
        <f aca="false">IF(AF$3=0,0,in_R07*in_R03*in_R05/1000*in_C13*MIN(1,MAX(0,(AF$3-in_R04a)/(in_R04b-in_R04a)))*in_R06)</f>
        <v>2.368</v>
      </c>
      <c r="AG26" s="51" t="n">
        <f aca="false">IF(AG$3=0,0,in_R07*in_R03*in_R05/1000*in_C13*MIN(1,MAX(0,(AG$3-in_R04a)/(in_R04b-in_R04a)))*in_R06)</f>
        <v>2.368</v>
      </c>
      <c r="AH26" s="51" t="n">
        <f aca="false">IF(AH$3=0,0,in_R07*in_R03*in_R05/1000*in_C13*MIN(1,MAX(0,(AH$3-in_R04a)/(in_R04b-in_R04a)))*in_R06)</f>
        <v>2.368</v>
      </c>
    </row>
    <row r="27" customFormat="false" ht="15" hidden="false" customHeight="true" outlineLevel="0" collapsed="false">
      <c r="A27" s="33" t="s">
        <v>1386</v>
      </c>
      <c r="D27" s="51" t="n">
        <f aca="false">IF(D$3=0,0,in_C01*in_C06*(1-$B$24)^D$3+D26)</f>
        <v>0</v>
      </c>
      <c r="E27" s="51" t="n">
        <f aca="false">IF(E$3=0,0,in_C01*in_C06*(1-$B$24)^E$3+E26)</f>
        <v>246.25</v>
      </c>
      <c r="F27" s="51" t="n">
        <f aca="false">IF(F$3=0,0,in_C01*in_C06*(1-$B$24)^F$3+F26)</f>
        <v>242.55625</v>
      </c>
      <c r="G27" s="51" t="n">
        <f aca="false">IF(G$3=0,0,in_C01*in_C06*(1-$B$24)^G$3+G26)</f>
        <v>238.91790625</v>
      </c>
      <c r="H27" s="51" t="n">
        <f aca="false">IF(H$3=0,0,in_C01*in_C06*(1-$B$24)^H$3+H26)</f>
        <v>235.33413765625</v>
      </c>
      <c r="I27" s="51" t="n">
        <f aca="false">IF(I$3=0,0,in_C01*in_C06*(1-$B$24)^I$3+I26)</f>
        <v>231.804125591406</v>
      </c>
      <c r="J27" s="51" t="n">
        <f aca="false">IF(J$3=0,0,in_C01*in_C06*(1-$B$24)^J$3+J26)</f>
        <v>228.327063707535</v>
      </c>
      <c r="K27" s="51" t="n">
        <f aca="false">IF(K$3=0,0,in_C01*in_C06*(1-$B$24)^K$3+K26)</f>
        <v>225.198157751922</v>
      </c>
      <c r="L27" s="51" t="n">
        <f aca="false">IF(L$3=0,0,in_C01*in_C06*(1-$B$24)^L$3+L26)</f>
        <v>222.120625385643</v>
      </c>
      <c r="M27" s="51" t="n">
        <f aca="false">IF(M$3=0,0,in_C01*in_C06*(1-$B$24)^M$3+M26)</f>
        <v>219.093696004859</v>
      </c>
      <c r="N27" s="51" t="n">
        <f aca="false">IF(N$3=0,0,in_C01*in_C06*(1-$B$24)^N$3+N26)</f>
        <v>216.116610564786</v>
      </c>
      <c r="O27" s="51" t="n">
        <f aca="false">IF(O$3=0,0,in_C01*in_C06*(1-$B$24)^O$3+O26)</f>
        <v>213.188621406314</v>
      </c>
      <c r="P27" s="51" t="n">
        <f aca="false">IF(P$3=0,0,in_C01*in_C06*(1-$B$24)^P$3+P26)</f>
        <v>210.308992085219</v>
      </c>
      <c r="Q27" s="51" t="n">
        <f aca="false">IF(Q$3=0,0,in_C01*in_C06*(1-$B$24)^Q$3+Q26)</f>
        <v>207.476997203941</v>
      </c>
      <c r="R27" s="51" t="n">
        <f aca="false">IF(R$3=0,0,in_C01*in_C06*(1-$B$24)^R$3+R26)</f>
        <v>204.691922245882</v>
      </c>
      <c r="S27" s="51" t="n">
        <f aca="false">IF(S$3=0,0,in_C01*in_C06*(1-$B$24)^S$3+S26)</f>
        <v>201.657063412194</v>
      </c>
      <c r="T27" s="51" t="n">
        <f aca="false">IF(T$3=0,0,in_C01*in_C06*(1-$B$24)^T$3+T26)</f>
        <v>198.667727461011</v>
      </c>
      <c r="U27" s="51" t="n">
        <f aca="false">IF(U$3=0,0,in_C01*in_C06*(1-$B$24)^U$3+U26)</f>
        <v>195.723231549096</v>
      </c>
      <c r="V27" s="51" t="n">
        <f aca="false">IF(V$3=0,0,in_C01*in_C06*(1-$B$24)^V$3+V26)</f>
        <v>192.822903075859</v>
      </c>
      <c r="W27" s="51" t="n">
        <f aca="false">IF(W$3=0,0,in_C01*in_C06*(1-$B$24)^W$3+W26)</f>
        <v>189.966079529721</v>
      </c>
      <c r="X27" s="51" t="n">
        <f aca="false">IF(X$3=0,0,in_C01*in_C06*(1-$B$24)^X$3+X26)</f>
        <v>187.152108336775</v>
      </c>
      <c r="Y27" s="51" t="n">
        <f aca="false">IF(Y$3=0,0,in_C01*in_C06*(1-$B$24)^Y$3+Y26)</f>
        <v>184.380346711724</v>
      </c>
      <c r="Z27" s="51" t="n">
        <f aca="false">IF(Z$3=0,0,in_C01*in_C06*(1-$B$24)^Z$3+Z26)</f>
        <v>181.650161511048</v>
      </c>
      <c r="AA27" s="51" t="n">
        <f aca="false">IF(AA$3=0,0,in_C01*in_C06*(1-$B$24)^AA$3+AA26)</f>
        <v>178.960929088382</v>
      </c>
      <c r="AB27" s="51" t="n">
        <f aca="false">IF(AB$3=0,0,in_C01*in_C06*(1-$B$24)^AB$3+AB26)</f>
        <v>176.312035152056</v>
      </c>
      <c r="AC27" s="51" t="n">
        <f aca="false">IF(AC$3=0,0,in_C01*in_C06*(1-$B$24)^AC$3+AC26)</f>
        <v>173.702874624776</v>
      </c>
      <c r="AD27" s="51" t="n">
        <f aca="false">IF(AD$3=0,0,in_C01*in_C06*(1-$B$24)^AD$3+AD26)</f>
        <v>171.132851505404</v>
      </c>
      <c r="AE27" s="51" t="n">
        <f aca="false">IF(AE$3=0,0,in_C01*in_C06*(1-$B$24)^AE$3+AE26)</f>
        <v>168.601378732823</v>
      </c>
      <c r="AF27" s="51" t="n">
        <f aca="false">IF(AF$3=0,0,in_C01*in_C06*(1-$B$24)^AF$3+AF26)</f>
        <v>166.107878051831</v>
      </c>
      <c r="AG27" s="51" t="n">
        <f aca="false">IF(AG$3=0,0,in_C01*in_C06*(1-$B$24)^AG$3+AG26)</f>
        <v>163.651779881053</v>
      </c>
      <c r="AH27" s="51" t="n">
        <f aca="false">IF(AH$3=0,0,in_C01*in_C06*(1-$B$24)^AH$3+AH26)</f>
        <v>161.232523182837</v>
      </c>
    </row>
    <row r="28" customFormat="false" ht="15" hidden="false" customHeight="true" outlineLevel="0" collapsed="false">
      <c r="A28" s="33" t="s">
        <v>1387</v>
      </c>
      <c r="D28" s="52" t="n">
        <f aca="false">IF(D$3=0,0,(MAX(0,in_C01-D27)+in_H01*in_H02*MIN(in_C01,D27)*(1-$B$25))*c_VST)</f>
        <v>0</v>
      </c>
      <c r="E28" s="52" t="n">
        <f aca="false">IF(E$3=0,0,(MAX(0,in_C01-E27)+in_H01*in_H02*MIN(in_C01,E27)*(1-$B$25))*c_VST)</f>
        <v>36668.4527805916</v>
      </c>
      <c r="F28" s="52" t="n">
        <f aca="false">IF(F$3=0,0,(MAX(0,in_C01-F27)+in_H01*in_H02*MIN(in_C01,F27)*(1-$B$25))*c_VST)</f>
        <v>36668.4527805916</v>
      </c>
      <c r="G28" s="52" t="n">
        <f aca="false">IF(G$3=0,0,(MAX(0,in_C01-G27)+in_H01*in_H02*MIN(in_C01,G27)*(1-$B$25))*c_VST)</f>
        <v>36668.4527805916</v>
      </c>
      <c r="H28" s="52" t="n">
        <f aca="false">IF(H$3=0,0,(MAX(0,in_C01-H27)+in_H01*in_H02*MIN(in_C01,H27)*(1-$B$25))*c_VST)</f>
        <v>36668.4527805916</v>
      </c>
      <c r="I28" s="52" t="n">
        <f aca="false">IF(I$3=0,0,(MAX(0,in_C01-I27)+in_H01*in_H02*MIN(in_C01,I27)*(1-$B$25))*c_VST)</f>
        <v>36668.4527805916</v>
      </c>
      <c r="J28" s="52" t="n">
        <f aca="false">IF(J$3=0,0,(MAX(0,in_C01-J27)+in_H01*in_H02*MIN(in_C01,J27)*(1-$B$25))*c_VST)</f>
        <v>36668.4527805916</v>
      </c>
      <c r="K28" s="52" t="n">
        <f aca="false">IF(K$3=0,0,(MAX(0,in_C01-K27)+in_H01*in_H02*MIN(in_C01,K27)*(1-$B$25))*c_VST)</f>
        <v>36668.4527805916</v>
      </c>
      <c r="L28" s="52" t="n">
        <f aca="false">IF(L$3=0,0,(MAX(0,in_C01-L27)+in_H01*in_H02*MIN(in_C01,L27)*(1-$B$25))*c_VST)</f>
        <v>36668.4527805916</v>
      </c>
      <c r="M28" s="52" t="n">
        <f aca="false">IF(M$3=0,0,(MAX(0,in_C01-M27)+in_H01*in_H02*MIN(in_C01,M27)*(1-$B$25))*c_VST)</f>
        <v>36668.4527805916</v>
      </c>
      <c r="N28" s="52" t="n">
        <f aca="false">IF(N$3=0,0,(MAX(0,in_C01-N27)+in_H01*in_H02*MIN(in_C01,N27)*(1-$B$25))*c_VST)</f>
        <v>36668.4527805916</v>
      </c>
      <c r="O28" s="52" t="n">
        <f aca="false">IF(O$3=0,0,(MAX(0,in_C01-O27)+in_H01*in_H02*MIN(in_C01,O27)*(1-$B$25))*c_VST)</f>
        <v>36668.4527805916</v>
      </c>
      <c r="P28" s="52" t="n">
        <f aca="false">IF(P$3=0,0,(MAX(0,in_C01-P27)+in_H01*in_H02*MIN(in_C01,P27)*(1-$B$25))*c_VST)</f>
        <v>36668.4527805916</v>
      </c>
      <c r="Q28" s="52" t="n">
        <f aca="false">IF(Q$3=0,0,(MAX(0,in_C01-Q27)+in_H01*in_H02*MIN(in_C01,Q27)*(1-$B$25))*c_VST)</f>
        <v>36668.4527805916</v>
      </c>
      <c r="R28" s="52" t="n">
        <f aca="false">IF(R$3=0,0,(MAX(0,in_C01-R27)+in_H01*in_H02*MIN(in_C01,R27)*(1-$B$25))*c_VST)</f>
        <v>36668.4527805916</v>
      </c>
      <c r="S28" s="52" t="n">
        <f aca="false">IF(S$3=0,0,(MAX(0,in_C01-S27)+in_H01*in_H02*MIN(in_C01,S27)*(1-$B$25))*c_VST)</f>
        <v>36668.4527805916</v>
      </c>
      <c r="T28" s="52" t="n">
        <f aca="false">IF(T$3=0,0,(MAX(0,in_C01-T27)+in_H01*in_H02*MIN(in_C01,T27)*(1-$B$25))*c_VST)</f>
        <v>39138.2116219802</v>
      </c>
      <c r="U28" s="52" t="n">
        <f aca="false">IF(U$3=0,0,(MAX(0,in_C01-U27)+in_H01*in_H02*MIN(in_C01,U27)*(1-$B$25))*c_VST)</f>
        <v>44596.7004814759</v>
      </c>
      <c r="V28" s="52" t="n">
        <f aca="false">IF(V$3=0,0,(MAX(0,in_C01-V27)+in_H01*in_H02*MIN(in_C01,V27)*(1-$B$25))*c_VST)</f>
        <v>49973.3120080792</v>
      </c>
      <c r="W28" s="52" t="n">
        <f aca="false">IF(W$3=0,0,(MAX(0,in_C01-W27)+in_H01*in_H02*MIN(in_C01,W27)*(1-$B$25))*c_VST)</f>
        <v>55269.2743617834</v>
      </c>
      <c r="X28" s="52" t="n">
        <f aca="false">IF(X$3=0,0,(MAX(0,in_C01-X27)+in_H01*in_H02*MIN(in_C01,X27)*(1-$B$25))*c_VST)</f>
        <v>60485.7972801821</v>
      </c>
      <c r="Y28" s="52" t="n">
        <f aca="false">IF(Y$3=0,0,(MAX(0,in_C01-Y27)+in_H01*in_H02*MIN(in_C01,Y27)*(1-$B$25))*c_VST)</f>
        <v>65624.0723548047</v>
      </c>
      <c r="Z28" s="52" t="n">
        <f aca="false">IF(Z$3=0,0,(MAX(0,in_C01-Z27)+in_H01*in_H02*MIN(in_C01,Z27)*(1-$B$25))*c_VST)</f>
        <v>70685.2733033081</v>
      </c>
      <c r="AA28" s="52" t="n">
        <f aca="false">IF(AA$3=0,0,(MAX(0,in_C01-AA27)+in_H01*in_H02*MIN(in_C01,AA27)*(1-$B$25))*c_VST)</f>
        <v>75670.5562375838</v>
      </c>
      <c r="AB28" s="52" t="n">
        <f aca="false">IF(AB$3=0,0,(MAX(0,in_C01-AB27)+in_H01*in_H02*MIN(in_C01,AB27)*(1-$B$25))*c_VST)</f>
        <v>80581.0599278455</v>
      </c>
      <c r="AC28" s="52" t="n">
        <f aca="false">IF(AC$3=0,0,(MAX(0,in_C01-AC27)+in_H01*in_H02*MIN(in_C01,AC27)*(1-$B$25))*c_VST)</f>
        <v>85417.9060627532</v>
      </c>
      <c r="AD28" s="52" t="n">
        <f aca="false">IF(AD$3=0,0,(MAX(0,in_C01-AD27)+in_H01*in_H02*MIN(in_C01,AD27)*(1-$B$25))*c_VST)</f>
        <v>90182.1995056373</v>
      </c>
      <c r="AE28" s="52" t="n">
        <f aca="false">IF(AE$3=0,0,(MAX(0,in_C01-AE27)+in_H01*in_H02*MIN(in_C01,AE27)*(1-$B$25))*c_VST)</f>
        <v>94875.0285468781</v>
      </c>
      <c r="AF28" s="52" t="n">
        <f aca="false">IF(AF$3=0,0,(MAX(0,in_C01-AF27)+in_H01*in_H02*MIN(in_C01,AF27)*(1-$B$25))*c_VST)</f>
        <v>99497.4651525004</v>
      </c>
      <c r="AG28" s="52" t="n">
        <f aca="false">IF(AG$3=0,0,(MAX(0,in_C01-AG27)+in_H01*in_H02*MIN(in_C01,AG27)*(1-$B$25))*c_VST)</f>
        <v>104050.565209038</v>
      </c>
      <c r="AH28" s="52" t="n">
        <f aca="false">IF(AH$3=0,0,(MAX(0,in_C01-AH27)+in_H01*in_H02*MIN(in_C01,AH27)*(1-$B$25))*c_VST)</f>
        <v>108535.368764728</v>
      </c>
    </row>
    <row r="29" customFormat="false" ht="15" hidden="false" customHeight="true" outlineLevel="0" collapsed="false">
      <c r="A29" s="33" t="s">
        <v>1392</v>
      </c>
      <c r="D29" s="55" t="n">
        <f aca="false">D7-D28</f>
        <v>0</v>
      </c>
      <c r="E29" s="55" t="n">
        <f aca="false">E7-E28</f>
        <v>0</v>
      </c>
      <c r="F29" s="55" t="n">
        <f aca="false">F7-F28</f>
        <v>0</v>
      </c>
      <c r="G29" s="55" t="n">
        <f aca="false">G7-G28</f>
        <v>0</v>
      </c>
      <c r="H29" s="55" t="n">
        <f aca="false">H7-H28</f>
        <v>0</v>
      </c>
      <c r="I29" s="55" t="n">
        <f aca="false">I7-I28</f>
        <v>0</v>
      </c>
      <c r="J29" s="55" t="n">
        <f aca="false">J7-J28</f>
        <v>0</v>
      </c>
      <c r="K29" s="55" t="n">
        <f aca="false">K7-K28</f>
        <v>0</v>
      </c>
      <c r="L29" s="55" t="n">
        <f aca="false">L7-L28</f>
        <v>0</v>
      </c>
      <c r="M29" s="55" t="n">
        <f aca="false">M7-M28</f>
        <v>0</v>
      </c>
      <c r="N29" s="55" t="n">
        <f aca="false">N7-N28</f>
        <v>0</v>
      </c>
      <c r="O29" s="55" t="n">
        <f aca="false">O7-O28</f>
        <v>0</v>
      </c>
      <c r="P29" s="55" t="n">
        <f aca="false">P7-P28</f>
        <v>0</v>
      </c>
      <c r="Q29" s="55" t="n">
        <f aca="false">Q7-Q28</f>
        <v>0</v>
      </c>
      <c r="R29" s="55" t="n">
        <f aca="false">R7-R28</f>
        <v>0</v>
      </c>
      <c r="S29" s="55" t="n">
        <f aca="false">S7-S28</f>
        <v>1317.92998205423</v>
      </c>
      <c r="T29" s="55" t="n">
        <f aca="false">T7-T28</f>
        <v>4389.78419599117</v>
      </c>
      <c r="U29" s="55" t="n">
        <f aca="false">U7-U28</f>
        <v>4389.78419599117</v>
      </c>
      <c r="V29" s="55" t="n">
        <f aca="false">V7-V28</f>
        <v>4389.78419599116</v>
      </c>
      <c r="W29" s="55" t="n">
        <f aca="false">W7-W28</f>
        <v>4389.78419599117</v>
      </c>
      <c r="X29" s="55" t="n">
        <f aca="false">X7-X28</f>
        <v>4389.78419599117</v>
      </c>
      <c r="Y29" s="55" t="n">
        <f aca="false">Y7-Y28</f>
        <v>4389.78419599118</v>
      </c>
      <c r="Z29" s="55" t="n">
        <f aca="false">Z7-Z28</f>
        <v>4389.78419599116</v>
      </c>
      <c r="AA29" s="55" t="n">
        <f aca="false">AA7-AA28</f>
        <v>4389.78419599116</v>
      </c>
      <c r="AB29" s="55" t="n">
        <f aca="false">AB7-AB28</f>
        <v>4389.78419599118</v>
      </c>
      <c r="AC29" s="55" t="n">
        <f aca="false">AC7-AC28</f>
        <v>4389.78419599116</v>
      </c>
      <c r="AD29" s="55" t="n">
        <f aca="false">AD7-AD28</f>
        <v>4389.78419599116</v>
      </c>
      <c r="AE29" s="55" t="n">
        <f aca="false">AE7-AE28</f>
        <v>4389.78419599116</v>
      </c>
      <c r="AF29" s="55" t="n">
        <f aca="false">AF7-AF28</f>
        <v>4389.78419599116</v>
      </c>
      <c r="AG29" s="55" t="n">
        <f aca="false">AG7-AG28</f>
        <v>4389.78419599116</v>
      </c>
      <c r="AH29" s="55" t="n">
        <f aca="false">AH7-AH28</f>
        <v>4389.78419599116</v>
      </c>
    </row>
    <row r="30" customFormat="false" ht="15" hidden="false" customHeight="true" outlineLevel="0" collapsed="false">
      <c r="A30" s="53" t="s">
        <v>1393</v>
      </c>
    </row>
    <row r="31" customFormat="false" ht="15" hidden="false" customHeight="true" outlineLevel="0" collapsed="false">
      <c r="A31" s="33" t="s">
        <v>1389</v>
      </c>
      <c r="B31" s="54" t="n">
        <f aca="false">in_H04-in_S04</f>
        <v>0.0135</v>
      </c>
    </row>
    <row r="32" customFormat="false" ht="15" hidden="false" customHeight="true" outlineLevel="0" collapsed="false">
      <c r="A32" s="33" t="s">
        <v>1390</v>
      </c>
      <c r="B32" s="54" t="n">
        <f aca="false">c_stove_served*in_I05</f>
        <v>0.05</v>
      </c>
    </row>
    <row r="33" customFormat="false" ht="15" hidden="false" customHeight="true" outlineLevel="0" collapsed="false">
      <c r="A33" s="33" t="s">
        <v>1391</v>
      </c>
      <c r="D33" s="51" t="n">
        <f aca="false">IF(D$3=0,0,0)</f>
        <v>0</v>
      </c>
      <c r="E33" s="51" t="n">
        <f aca="false">IF(E$3=0,0,0)</f>
        <v>0</v>
      </c>
      <c r="F33" s="51" t="n">
        <f aca="false">IF(F$3=0,0,0)</f>
        <v>0</v>
      </c>
      <c r="G33" s="51" t="n">
        <f aca="false">IF(G$3=0,0,0)</f>
        <v>0</v>
      </c>
      <c r="H33" s="51" t="n">
        <f aca="false">IF(H$3=0,0,0)</f>
        <v>0</v>
      </c>
      <c r="I33" s="51" t="n">
        <f aca="false">IF(I$3=0,0,0)</f>
        <v>0</v>
      </c>
      <c r="J33" s="51" t="n">
        <f aca="false">IF(J$3=0,0,0)</f>
        <v>0</v>
      </c>
      <c r="K33" s="51" t="n">
        <f aca="false">IF(K$3=0,0,0)</f>
        <v>0</v>
      </c>
      <c r="L33" s="51" t="n">
        <f aca="false">IF(L$3=0,0,0)</f>
        <v>0</v>
      </c>
      <c r="M33" s="51" t="n">
        <f aca="false">IF(M$3=0,0,0)</f>
        <v>0</v>
      </c>
      <c r="N33" s="51" t="n">
        <f aca="false">IF(N$3=0,0,0)</f>
        <v>0</v>
      </c>
      <c r="O33" s="51" t="n">
        <f aca="false">IF(O$3=0,0,0)</f>
        <v>0</v>
      </c>
      <c r="P33" s="51" t="n">
        <f aca="false">IF(P$3=0,0,0)</f>
        <v>0</v>
      </c>
      <c r="Q33" s="51" t="n">
        <f aca="false">IF(Q$3=0,0,0)</f>
        <v>0</v>
      </c>
      <c r="R33" s="51" t="n">
        <f aca="false">IF(R$3=0,0,0)</f>
        <v>0</v>
      </c>
      <c r="S33" s="51" t="n">
        <f aca="false">IF(S$3=0,0,0)</f>
        <v>0</v>
      </c>
      <c r="T33" s="51" t="n">
        <f aca="false">IF(T$3=0,0,0)</f>
        <v>0</v>
      </c>
      <c r="U33" s="51" t="n">
        <f aca="false">IF(U$3=0,0,0)</f>
        <v>0</v>
      </c>
      <c r="V33" s="51" t="n">
        <f aca="false">IF(V$3=0,0,0)</f>
        <v>0</v>
      </c>
      <c r="W33" s="51" t="n">
        <f aca="false">IF(W$3=0,0,0)</f>
        <v>0</v>
      </c>
      <c r="X33" s="51" t="n">
        <f aca="false">IF(X$3=0,0,0)</f>
        <v>0</v>
      </c>
      <c r="Y33" s="51" t="n">
        <f aca="false">IF(Y$3=0,0,0)</f>
        <v>0</v>
      </c>
      <c r="Z33" s="51" t="n">
        <f aca="false">IF(Z$3=0,0,0)</f>
        <v>0</v>
      </c>
      <c r="AA33" s="51" t="n">
        <f aca="false">IF(AA$3=0,0,0)</f>
        <v>0</v>
      </c>
      <c r="AB33" s="51" t="n">
        <f aca="false">IF(AB$3=0,0,0)</f>
        <v>0</v>
      </c>
      <c r="AC33" s="51" t="n">
        <f aca="false">IF(AC$3=0,0,0)</f>
        <v>0</v>
      </c>
      <c r="AD33" s="51" t="n">
        <f aca="false">IF(AD$3=0,0,0)</f>
        <v>0</v>
      </c>
      <c r="AE33" s="51" t="n">
        <f aca="false">IF(AE$3=0,0,0)</f>
        <v>0</v>
      </c>
      <c r="AF33" s="51" t="n">
        <f aca="false">IF(AF$3=0,0,0)</f>
        <v>0</v>
      </c>
      <c r="AG33" s="51" t="n">
        <f aca="false">IF(AG$3=0,0,0)</f>
        <v>0</v>
      </c>
      <c r="AH33" s="51" t="n">
        <f aca="false">IF(AH$3=0,0,0)</f>
        <v>0</v>
      </c>
    </row>
    <row r="34" customFormat="false" ht="15" hidden="false" customHeight="true" outlineLevel="0" collapsed="false">
      <c r="A34" s="33" t="s">
        <v>1386</v>
      </c>
      <c r="D34" s="51" t="n">
        <f aca="false">IF(D$3=0,0,in_C01*in_C06*(1-$B$31)^D$3+D33)</f>
        <v>0</v>
      </c>
      <c r="E34" s="51" t="n">
        <f aca="false">IF(E$3=0,0,in_C01*in_C06*(1-$B$31)^E$3+E33)</f>
        <v>246.625</v>
      </c>
      <c r="F34" s="51" t="n">
        <f aca="false">IF(F$3=0,0,in_C01*in_C06*(1-$B$31)^F$3+F33)</f>
        <v>243.2955625</v>
      </c>
      <c r="G34" s="51" t="n">
        <f aca="false">IF(G$3=0,0,in_C01*in_C06*(1-$B$31)^G$3+G33)</f>
        <v>240.01107240625</v>
      </c>
      <c r="H34" s="51" t="n">
        <f aca="false">IF(H$3=0,0,in_C01*in_C06*(1-$B$31)^H$3+H33)</f>
        <v>236.770922928766</v>
      </c>
      <c r="I34" s="51" t="n">
        <f aca="false">IF(I$3=0,0,in_C01*in_C06*(1-$B$31)^I$3+I33)</f>
        <v>233.574515469227</v>
      </c>
      <c r="J34" s="51" t="n">
        <f aca="false">IF(J$3=0,0,in_C01*in_C06*(1-$B$31)^J$3+J33)</f>
        <v>230.421259510393</v>
      </c>
      <c r="K34" s="51" t="n">
        <f aca="false">IF(K$3=0,0,in_C01*in_C06*(1-$B$31)^K$3+K33)</f>
        <v>227.310572507003</v>
      </c>
      <c r="L34" s="51" t="n">
        <f aca="false">IF(L$3=0,0,in_C01*in_C06*(1-$B$31)^L$3+L33)</f>
        <v>224.241879778158</v>
      </c>
      <c r="M34" s="51" t="n">
        <f aca="false">IF(M$3=0,0,in_C01*in_C06*(1-$B$31)^M$3+M33)</f>
        <v>221.214614401153</v>
      </c>
      <c r="N34" s="51" t="n">
        <f aca="false">IF(N$3=0,0,in_C01*in_C06*(1-$B$31)^N$3+N33)</f>
        <v>218.228217106737</v>
      </c>
      <c r="O34" s="51" t="n">
        <f aca="false">IF(O$3=0,0,in_C01*in_C06*(1-$B$31)^O$3+O33)</f>
        <v>215.282136175796</v>
      </c>
      <c r="P34" s="51" t="n">
        <f aca="false">IF(P$3=0,0,in_C01*in_C06*(1-$B$31)^P$3+P33)</f>
        <v>212.375827337423</v>
      </c>
      <c r="Q34" s="51" t="n">
        <f aca="false">IF(Q$3=0,0,in_C01*in_C06*(1-$B$31)^Q$3+Q33)</f>
        <v>209.508753668368</v>
      </c>
      <c r="R34" s="51" t="n">
        <f aca="false">IF(R$3=0,0,in_C01*in_C06*(1-$B$31)^R$3+R33)</f>
        <v>206.680385493845</v>
      </c>
      <c r="S34" s="51" t="n">
        <f aca="false">IF(S$3=0,0,in_C01*in_C06*(1-$B$31)^S$3+S33)</f>
        <v>203.890200289678</v>
      </c>
      <c r="T34" s="51" t="n">
        <f aca="false">IF(T$3=0,0,in_C01*in_C06*(1-$B$31)^T$3+T33)</f>
        <v>201.137682585767</v>
      </c>
      <c r="U34" s="51" t="n">
        <f aca="false">IF(U$3=0,0,in_C01*in_C06*(1-$B$31)^U$3+U33)</f>
        <v>198.42232387086</v>
      </c>
      <c r="V34" s="51" t="n">
        <f aca="false">IF(V$3=0,0,in_C01*in_C06*(1-$B$31)^V$3+V33)</f>
        <v>195.743622498603</v>
      </c>
      <c r="W34" s="51" t="n">
        <f aca="false">IF(W$3=0,0,in_C01*in_C06*(1-$B$31)^W$3+W33)</f>
        <v>193.101083594872</v>
      </c>
      <c r="X34" s="51" t="n">
        <f aca="false">IF(X$3=0,0,in_C01*in_C06*(1-$B$31)^X$3+X33)</f>
        <v>190.494218966341</v>
      </c>
      <c r="Y34" s="51" t="n">
        <f aca="false">IF(Y$3=0,0,in_C01*in_C06*(1-$B$31)^Y$3+Y33)</f>
        <v>187.922547010295</v>
      </c>
      <c r="Z34" s="51" t="n">
        <f aca="false">IF(Z$3=0,0,in_C01*in_C06*(1-$B$31)^Z$3+Z33)</f>
        <v>185.385592625657</v>
      </c>
      <c r="AA34" s="51" t="n">
        <f aca="false">IF(AA$3=0,0,in_C01*in_C06*(1-$B$31)^AA$3+AA33)</f>
        <v>182.88288712521</v>
      </c>
      <c r="AB34" s="51" t="n">
        <f aca="false">IF(AB$3=0,0,in_C01*in_C06*(1-$B$31)^AB$3+AB33)</f>
        <v>180.41396814902</v>
      </c>
      <c r="AC34" s="51" t="n">
        <f aca="false">IF(AC$3=0,0,in_C01*in_C06*(1-$B$31)^AC$3+AC33)</f>
        <v>177.978379579008</v>
      </c>
      <c r="AD34" s="51" t="n">
        <f aca="false">IF(AD$3=0,0,in_C01*in_C06*(1-$B$31)^AD$3+AD33)</f>
        <v>175.575671454691</v>
      </c>
      <c r="AE34" s="51" t="n">
        <f aca="false">IF(AE$3=0,0,in_C01*in_C06*(1-$B$31)^AE$3+AE33)</f>
        <v>173.205399890053</v>
      </c>
      <c r="AF34" s="51" t="n">
        <f aca="false">IF(AF$3=0,0,in_C01*in_C06*(1-$B$31)^AF$3+AF33)</f>
        <v>170.867126991537</v>
      </c>
      <c r="AG34" s="51" t="n">
        <f aca="false">IF(AG$3=0,0,in_C01*in_C06*(1-$B$31)^AG$3+AG33)</f>
        <v>168.560420777152</v>
      </c>
      <c r="AH34" s="51" t="n">
        <f aca="false">IF(AH$3=0,0,in_C01*in_C06*(1-$B$31)^AH$3+AH33)</f>
        <v>166.28485509666</v>
      </c>
    </row>
    <row r="35" customFormat="false" ht="15" hidden="false" customHeight="true" outlineLevel="0" collapsed="false">
      <c r="A35" s="33" t="s">
        <v>1387</v>
      </c>
      <c r="D35" s="52" t="n">
        <f aca="false">IF(D$3=0,0,(MAX(0,in_C01-D34)+in_H01*in_H02*MIN(in_C01,D34)*(1-$B$32))*c_VST)</f>
        <v>0</v>
      </c>
      <c r="E35" s="52" t="n">
        <f aca="false">IF(E$3=0,0,(MAX(0,in_C01-E34)+in_H01*in_H02*MIN(in_C01,E34)*(1-$B$32))*c_VST)</f>
        <v>34835.030141562</v>
      </c>
      <c r="F35" s="52" t="n">
        <f aca="false">IF(F$3=0,0,(MAX(0,in_C01-F34)+in_H01*in_H02*MIN(in_C01,F34)*(1-$B$32))*c_VST)</f>
        <v>34835.030141562</v>
      </c>
      <c r="G35" s="52" t="n">
        <f aca="false">IF(G$3=0,0,(MAX(0,in_C01-G34)+in_H01*in_H02*MIN(in_C01,G34)*(1-$B$32))*c_VST)</f>
        <v>34835.030141562</v>
      </c>
      <c r="H35" s="52" t="n">
        <f aca="false">IF(H$3=0,0,(MAX(0,in_C01-H34)+in_H01*in_H02*MIN(in_C01,H34)*(1-$B$32))*c_VST)</f>
        <v>34835.030141562</v>
      </c>
      <c r="I35" s="52" t="n">
        <f aca="false">IF(I$3=0,0,(MAX(0,in_C01-I34)+in_H01*in_H02*MIN(in_C01,I34)*(1-$B$32))*c_VST)</f>
        <v>34835.030141562</v>
      </c>
      <c r="J35" s="52" t="n">
        <f aca="false">IF(J$3=0,0,(MAX(0,in_C01-J34)+in_H01*in_H02*MIN(in_C01,J34)*(1-$B$32))*c_VST)</f>
        <v>34835.030141562</v>
      </c>
      <c r="K35" s="52" t="n">
        <f aca="false">IF(K$3=0,0,(MAX(0,in_C01-K34)+in_H01*in_H02*MIN(in_C01,K34)*(1-$B$32))*c_VST)</f>
        <v>34835.030141562</v>
      </c>
      <c r="L35" s="52" t="n">
        <f aca="false">IF(L$3=0,0,(MAX(0,in_C01-L34)+in_H01*in_H02*MIN(in_C01,L34)*(1-$B$32))*c_VST)</f>
        <v>34835.030141562</v>
      </c>
      <c r="M35" s="52" t="n">
        <f aca="false">IF(M$3=0,0,(MAX(0,in_C01-M34)+in_H01*in_H02*MIN(in_C01,M34)*(1-$B$32))*c_VST)</f>
        <v>34835.030141562</v>
      </c>
      <c r="N35" s="52" t="n">
        <f aca="false">IF(N$3=0,0,(MAX(0,in_C01-N34)+in_H01*in_H02*MIN(in_C01,N34)*(1-$B$32))*c_VST)</f>
        <v>34835.030141562</v>
      </c>
      <c r="O35" s="52" t="n">
        <f aca="false">IF(O$3=0,0,(MAX(0,in_C01-O34)+in_H01*in_H02*MIN(in_C01,O34)*(1-$B$32))*c_VST)</f>
        <v>34835.030141562</v>
      </c>
      <c r="P35" s="52" t="n">
        <f aca="false">IF(P$3=0,0,(MAX(0,in_C01-P34)+in_H01*in_H02*MIN(in_C01,P34)*(1-$B$32))*c_VST)</f>
        <v>34835.030141562</v>
      </c>
      <c r="Q35" s="52" t="n">
        <f aca="false">IF(Q$3=0,0,(MAX(0,in_C01-Q34)+in_H01*in_H02*MIN(in_C01,Q34)*(1-$B$32))*c_VST)</f>
        <v>34835.030141562</v>
      </c>
      <c r="R35" s="52" t="n">
        <f aca="false">IF(R$3=0,0,(MAX(0,in_C01-R34)+in_H01*in_H02*MIN(in_C01,R34)*(1-$B$32))*c_VST)</f>
        <v>34835.030141562</v>
      </c>
      <c r="S35" s="52" t="n">
        <f aca="false">IF(S$3=0,0,(MAX(0,in_C01-S34)+in_H01*in_H02*MIN(in_C01,S34)*(1-$B$32))*c_VST)</f>
        <v>34835.030141562</v>
      </c>
      <c r="T35" s="52" t="n">
        <f aca="false">IF(T$3=0,0,(MAX(0,in_C01-T34)+in_H01*in_H02*MIN(in_C01,T34)*(1-$B$32))*c_VST)</f>
        <v>34835.030141562</v>
      </c>
      <c r="U35" s="52" t="n">
        <f aca="false">IF(U$3=0,0,(MAX(0,in_C01-U34)+in_H01*in_H02*MIN(in_C01,U34)*(1-$B$32))*c_VST)</f>
        <v>37774.179422026</v>
      </c>
      <c r="V35" s="52" t="n">
        <f aca="false">IF(V$3=0,0,(MAX(0,in_C01-V34)+in_H01*in_H02*MIN(in_C01,V34)*(1-$B$32))*c_VST)</f>
        <v>42764.4959169174</v>
      </c>
      <c r="W35" s="52" t="n">
        <f aca="false">IF(W$3=0,0,(MAX(0,in_C01-W34)+in_H01*in_H02*MIN(in_C01,W34)*(1-$B$32))*c_VST)</f>
        <v>47687.4431391277</v>
      </c>
      <c r="X35" s="52" t="n">
        <f aca="false">IF(X$3=0,0,(MAX(0,in_C01-X34)+in_H01*in_H02*MIN(in_C01,X34)*(1-$B$32))*c_VST)</f>
        <v>52543.9305738382</v>
      </c>
      <c r="Y35" s="52" t="n">
        <f aca="false">IF(Y$3=0,0,(MAX(0,in_C01-Y34)+in_H01*in_H02*MIN(in_C01,Y34)*(1-$B$32))*c_VST)</f>
        <v>57334.8554281801</v>
      </c>
      <c r="Z35" s="52" t="n">
        <f aca="false">IF(Z$3=0,0,(MAX(0,in_C01-Z34)+in_H01*in_H02*MIN(in_C01,Z34)*(1-$B$32))*c_VST)</f>
        <v>62061.1027969884</v>
      </c>
      <c r="AA35" s="52" t="n">
        <f aca="false">IF(AA$3=0,0,(MAX(0,in_C01-AA34)+in_H01*in_H02*MIN(in_C01,AA34)*(1-$B$32))*c_VST)</f>
        <v>66723.5458263178</v>
      </c>
      <c r="AB35" s="52" t="n">
        <f aca="false">IF(AB$3=0,0,(MAX(0,in_C01-AB34)+in_H01*in_H02*MIN(in_C01,AB34)*(1-$B$32))*c_VST)</f>
        <v>71323.0458747512</v>
      </c>
      <c r="AC35" s="52" t="n">
        <f aca="false">IF(AC$3=0,0,(MAX(0,in_C01-AC34)+in_H01*in_H02*MIN(in_C01,AC34)*(1-$B$32))*c_VST)</f>
        <v>75860.4526725308</v>
      </c>
      <c r="AD35" s="52" t="n">
        <f aca="false">IF(AD$3=0,0,(MAX(0,in_C01-AD34)+in_H01*in_H02*MIN(in_C01,AD34)*(1-$B$32))*c_VST)</f>
        <v>80336.6044785404</v>
      </c>
      <c r="AE35" s="52" t="n">
        <f aca="false">IF(AE$3=0,0,(MAX(0,in_C01-AE34)+in_H01*in_H02*MIN(in_C01,AE34)*(1-$B$32))*c_VST)</f>
        <v>84752.3282351688</v>
      </c>
      <c r="AF35" s="52" t="n">
        <f aca="false">IF(AF$3=0,0,(MAX(0,in_C01-AF34)+in_H01*in_H02*MIN(in_C01,AF34)*(1-$B$32))*c_VST)</f>
        <v>89108.4397210827</v>
      </c>
      <c r="AG35" s="52" t="n">
        <f aca="false">IF(AG$3=0,0,(MAX(0,in_C01-AG34)+in_H01*in_H02*MIN(in_C01,AG34)*(1-$B$32))*c_VST)</f>
        <v>93405.7437019368</v>
      </c>
      <c r="AH35" s="52" t="n">
        <f aca="false">IF(AH$3=0,0,(MAX(0,in_C01-AH34)+in_H01*in_H02*MIN(in_C01,AH34)*(1-$B$32))*c_VST)</f>
        <v>97645.0340790495</v>
      </c>
    </row>
    <row r="36" customFormat="false" ht="15" hidden="false" customHeight="true" outlineLevel="0" collapsed="false">
      <c r="A36" s="33" t="s">
        <v>1392</v>
      </c>
      <c r="D36" s="55" t="n">
        <f aca="false">D7-D35</f>
        <v>0</v>
      </c>
      <c r="E36" s="55" t="n">
        <f aca="false">E7-E35</f>
        <v>1833.42263902959</v>
      </c>
      <c r="F36" s="55" t="n">
        <f aca="false">F7-F35</f>
        <v>1833.42263902959</v>
      </c>
      <c r="G36" s="55" t="n">
        <f aca="false">G7-G35</f>
        <v>1833.42263902959</v>
      </c>
      <c r="H36" s="55" t="n">
        <f aca="false">H7-H35</f>
        <v>1833.42263902959</v>
      </c>
      <c r="I36" s="55" t="n">
        <f aca="false">I7-I35</f>
        <v>1833.42263902959</v>
      </c>
      <c r="J36" s="55" t="n">
        <f aca="false">J7-J35</f>
        <v>1833.42263902959</v>
      </c>
      <c r="K36" s="55" t="n">
        <f aca="false">K7-K35</f>
        <v>1833.42263902959</v>
      </c>
      <c r="L36" s="55" t="n">
        <f aca="false">L7-L35</f>
        <v>1833.42263902959</v>
      </c>
      <c r="M36" s="55" t="n">
        <f aca="false">M7-M35</f>
        <v>1833.42263902959</v>
      </c>
      <c r="N36" s="55" t="n">
        <f aca="false">N7-N35</f>
        <v>1833.42263902959</v>
      </c>
      <c r="O36" s="55" t="n">
        <f aca="false">O7-O35</f>
        <v>1833.42263902959</v>
      </c>
      <c r="P36" s="55" t="n">
        <f aca="false">P7-P35</f>
        <v>1833.42263902959</v>
      </c>
      <c r="Q36" s="55" t="n">
        <f aca="false">Q7-Q35</f>
        <v>1833.42263902959</v>
      </c>
      <c r="R36" s="55" t="n">
        <f aca="false">R7-R35</f>
        <v>1833.42263902959</v>
      </c>
      <c r="S36" s="55" t="n">
        <f aca="false">S7-S35</f>
        <v>3151.35262108382</v>
      </c>
      <c r="T36" s="55" t="n">
        <f aca="false">T7-T35</f>
        <v>8692.9656764094</v>
      </c>
      <c r="U36" s="55" t="n">
        <f aca="false">U7-U35</f>
        <v>11212.3052554411</v>
      </c>
      <c r="V36" s="55" t="n">
        <f aca="false">V7-V35</f>
        <v>11598.6002871529</v>
      </c>
      <c r="W36" s="55" t="n">
        <f aca="false">W7-W35</f>
        <v>11971.6154186468</v>
      </c>
      <c r="X36" s="55" t="n">
        <f aca="false">X7-X35</f>
        <v>12331.650902335</v>
      </c>
      <c r="Y36" s="55" t="n">
        <f aca="false">Y7-Y35</f>
        <v>12679.0011226158</v>
      </c>
      <c r="Z36" s="55" t="n">
        <f aca="false">Z7-Z35</f>
        <v>13013.9547023108</v>
      </c>
      <c r="AA36" s="55" t="n">
        <f aca="false">AA7-AA35</f>
        <v>13336.7946072572</v>
      </c>
      <c r="AB36" s="55" t="n">
        <f aca="false">AB7-AB35</f>
        <v>13647.7982490854</v>
      </c>
      <c r="AC36" s="55" t="n">
        <f aca="false">AC7-AC35</f>
        <v>13947.2375862136</v>
      </c>
      <c r="AD36" s="55" t="n">
        <f aca="false">AD7-AD35</f>
        <v>14235.3792230881</v>
      </c>
      <c r="AE36" s="55" t="n">
        <f aca="false">AE7-AE35</f>
        <v>14512.4845077005</v>
      </c>
      <c r="AF36" s="55" t="n">
        <f aca="false">AF7-AF35</f>
        <v>14778.8096274088</v>
      </c>
      <c r="AG36" s="55" t="n">
        <f aca="false">AG7-AG35</f>
        <v>15034.6057030926</v>
      </c>
      <c r="AH36" s="55" t="n">
        <f aca="false">AH7-AH35</f>
        <v>15280.1188816698</v>
      </c>
    </row>
    <row r="37" customFormat="false" ht="15" hidden="false" customHeight="true" outlineLevel="0" collapsed="false">
      <c r="A37" s="53" t="s">
        <v>1394</v>
      </c>
    </row>
    <row r="38" customFormat="false" ht="15" hidden="false" customHeight="true" outlineLevel="0" collapsed="false">
      <c r="A38" s="33" t="s">
        <v>1389</v>
      </c>
      <c r="B38" s="54" t="n">
        <f aca="false">in_H04</f>
        <v>0.015</v>
      </c>
    </row>
    <row r="39" customFormat="false" ht="15" hidden="false" customHeight="true" outlineLevel="0" collapsed="false">
      <c r="A39" s="33" t="s">
        <v>1390</v>
      </c>
      <c r="B39" s="54" t="n">
        <f aca="false">c_sub_t/(in_H02*in_C01)</f>
        <v>0.116666666666667</v>
      </c>
    </row>
    <row r="40" customFormat="false" ht="15" hidden="false" customHeight="true" outlineLevel="0" collapsed="false">
      <c r="A40" s="33" t="s">
        <v>1391</v>
      </c>
      <c r="D40" s="51" t="n">
        <f aca="false">IF(D$3=0,0,0)</f>
        <v>0</v>
      </c>
      <c r="E40" s="51" t="n">
        <f aca="false">IF(E$3=0,0,0)</f>
        <v>0</v>
      </c>
      <c r="F40" s="51" t="n">
        <f aca="false">IF(F$3=0,0,0)</f>
        <v>0</v>
      </c>
      <c r="G40" s="51" t="n">
        <f aca="false">IF(G$3=0,0,0)</f>
        <v>0</v>
      </c>
      <c r="H40" s="51" t="n">
        <f aca="false">IF(H$3=0,0,0)</f>
        <v>0</v>
      </c>
      <c r="I40" s="51" t="n">
        <f aca="false">IF(I$3=0,0,0)</f>
        <v>0</v>
      </c>
      <c r="J40" s="51" t="n">
        <f aca="false">IF(J$3=0,0,0)</f>
        <v>0</v>
      </c>
      <c r="K40" s="51" t="n">
        <f aca="false">IF(K$3=0,0,0)</f>
        <v>0</v>
      </c>
      <c r="L40" s="51" t="n">
        <f aca="false">IF(L$3=0,0,0)</f>
        <v>0</v>
      </c>
      <c r="M40" s="51" t="n">
        <f aca="false">IF(M$3=0,0,0)</f>
        <v>0</v>
      </c>
      <c r="N40" s="51" t="n">
        <f aca="false">IF(N$3=0,0,0)</f>
        <v>0</v>
      </c>
      <c r="O40" s="51" t="n">
        <f aca="false">IF(O$3=0,0,0)</f>
        <v>0</v>
      </c>
      <c r="P40" s="51" t="n">
        <f aca="false">IF(P$3=0,0,0)</f>
        <v>0</v>
      </c>
      <c r="Q40" s="51" t="n">
        <f aca="false">IF(Q$3=0,0,0)</f>
        <v>0</v>
      </c>
      <c r="R40" s="51" t="n">
        <f aca="false">IF(R$3=0,0,0)</f>
        <v>0</v>
      </c>
      <c r="S40" s="51" t="n">
        <f aca="false">IF(S$3=0,0,0)</f>
        <v>0</v>
      </c>
      <c r="T40" s="51" t="n">
        <f aca="false">IF(T$3=0,0,0)</f>
        <v>0</v>
      </c>
      <c r="U40" s="51" t="n">
        <f aca="false">IF(U$3=0,0,0)</f>
        <v>0</v>
      </c>
      <c r="V40" s="51" t="n">
        <f aca="false">IF(V$3=0,0,0)</f>
        <v>0</v>
      </c>
      <c r="W40" s="51" t="n">
        <f aca="false">IF(W$3=0,0,0)</f>
        <v>0</v>
      </c>
      <c r="X40" s="51" t="n">
        <f aca="false">IF(X$3=0,0,0)</f>
        <v>0</v>
      </c>
      <c r="Y40" s="51" t="n">
        <f aca="false">IF(Y$3=0,0,0)</f>
        <v>0</v>
      </c>
      <c r="Z40" s="51" t="n">
        <f aca="false">IF(Z$3=0,0,0)</f>
        <v>0</v>
      </c>
      <c r="AA40" s="51" t="n">
        <f aca="false">IF(AA$3=0,0,0)</f>
        <v>0</v>
      </c>
      <c r="AB40" s="51" t="n">
        <f aca="false">IF(AB$3=0,0,0)</f>
        <v>0</v>
      </c>
      <c r="AC40" s="51" t="n">
        <f aca="false">IF(AC$3=0,0,0)</f>
        <v>0</v>
      </c>
      <c r="AD40" s="51" t="n">
        <f aca="false">IF(AD$3=0,0,0)</f>
        <v>0</v>
      </c>
      <c r="AE40" s="51" t="n">
        <f aca="false">IF(AE$3=0,0,0)</f>
        <v>0</v>
      </c>
      <c r="AF40" s="51" t="n">
        <f aca="false">IF(AF$3=0,0,0)</f>
        <v>0</v>
      </c>
      <c r="AG40" s="51" t="n">
        <f aca="false">IF(AG$3=0,0,0)</f>
        <v>0</v>
      </c>
      <c r="AH40" s="51" t="n">
        <f aca="false">IF(AH$3=0,0,0)</f>
        <v>0</v>
      </c>
    </row>
    <row r="41" customFormat="false" ht="15" hidden="false" customHeight="true" outlineLevel="0" collapsed="false">
      <c r="A41" s="33" t="s">
        <v>1386</v>
      </c>
      <c r="D41" s="51" t="n">
        <f aca="false">IF(D$3=0,0,in_C01*in_C06*(1-$B$38)^D$3+D40)</f>
        <v>0</v>
      </c>
      <c r="E41" s="51" t="n">
        <f aca="false">IF(E$3=0,0,in_C01*in_C06*(1-$B$38)^E$3+E40)</f>
        <v>246.25</v>
      </c>
      <c r="F41" s="51" t="n">
        <f aca="false">IF(F$3=0,0,in_C01*in_C06*(1-$B$38)^F$3+F40)</f>
        <v>242.55625</v>
      </c>
      <c r="G41" s="51" t="n">
        <f aca="false">IF(G$3=0,0,in_C01*in_C06*(1-$B$38)^G$3+G40)</f>
        <v>238.91790625</v>
      </c>
      <c r="H41" s="51" t="n">
        <f aca="false">IF(H$3=0,0,in_C01*in_C06*(1-$B$38)^H$3+H40)</f>
        <v>235.33413765625</v>
      </c>
      <c r="I41" s="51" t="n">
        <f aca="false">IF(I$3=0,0,in_C01*in_C06*(1-$B$38)^I$3+I40)</f>
        <v>231.804125591406</v>
      </c>
      <c r="J41" s="51" t="n">
        <f aca="false">IF(J$3=0,0,in_C01*in_C06*(1-$B$38)^J$3+J40)</f>
        <v>228.327063707535</v>
      </c>
      <c r="K41" s="51" t="n">
        <f aca="false">IF(K$3=0,0,in_C01*in_C06*(1-$B$38)^K$3+K40)</f>
        <v>224.902157751922</v>
      </c>
      <c r="L41" s="51" t="n">
        <f aca="false">IF(L$3=0,0,in_C01*in_C06*(1-$B$38)^L$3+L40)</f>
        <v>221.528625385643</v>
      </c>
      <c r="M41" s="51" t="n">
        <f aca="false">IF(M$3=0,0,in_C01*in_C06*(1-$B$38)^M$3+M40)</f>
        <v>218.205696004859</v>
      </c>
      <c r="N41" s="51" t="n">
        <f aca="false">IF(N$3=0,0,in_C01*in_C06*(1-$B$38)^N$3+N40)</f>
        <v>214.932610564786</v>
      </c>
      <c r="O41" s="51" t="n">
        <f aca="false">IF(O$3=0,0,in_C01*in_C06*(1-$B$38)^O$3+O40)</f>
        <v>211.708621406314</v>
      </c>
      <c r="P41" s="51" t="n">
        <f aca="false">IF(P$3=0,0,in_C01*in_C06*(1-$B$38)^P$3+P40)</f>
        <v>208.532992085219</v>
      </c>
      <c r="Q41" s="51" t="n">
        <f aca="false">IF(Q$3=0,0,in_C01*in_C06*(1-$B$38)^Q$3+Q40)</f>
        <v>205.404997203941</v>
      </c>
      <c r="R41" s="51" t="n">
        <f aca="false">IF(R$3=0,0,in_C01*in_C06*(1-$B$38)^R$3+R40)</f>
        <v>202.323922245882</v>
      </c>
      <c r="S41" s="51" t="n">
        <f aca="false">IF(S$3=0,0,in_C01*in_C06*(1-$B$38)^S$3+S40)</f>
        <v>199.289063412194</v>
      </c>
      <c r="T41" s="51" t="n">
        <f aca="false">IF(T$3=0,0,in_C01*in_C06*(1-$B$38)^T$3+T40)</f>
        <v>196.299727461011</v>
      </c>
      <c r="U41" s="51" t="n">
        <f aca="false">IF(U$3=0,0,in_C01*in_C06*(1-$B$38)^U$3+U40)</f>
        <v>193.355231549096</v>
      </c>
      <c r="V41" s="51" t="n">
        <f aca="false">IF(V$3=0,0,in_C01*in_C06*(1-$B$38)^V$3+V40)</f>
        <v>190.454903075859</v>
      </c>
      <c r="W41" s="51" t="n">
        <f aca="false">IF(W$3=0,0,in_C01*in_C06*(1-$B$38)^W$3+W40)</f>
        <v>187.598079529721</v>
      </c>
      <c r="X41" s="51" t="n">
        <f aca="false">IF(X$3=0,0,in_C01*in_C06*(1-$B$38)^X$3+X40)</f>
        <v>184.784108336775</v>
      </c>
      <c r="Y41" s="51" t="n">
        <f aca="false">IF(Y$3=0,0,in_C01*in_C06*(1-$B$38)^Y$3+Y40)</f>
        <v>182.012346711724</v>
      </c>
      <c r="Z41" s="51" t="n">
        <f aca="false">IF(Z$3=0,0,in_C01*in_C06*(1-$B$38)^Z$3+Z40)</f>
        <v>179.282161511048</v>
      </c>
      <c r="AA41" s="51" t="n">
        <f aca="false">IF(AA$3=0,0,in_C01*in_C06*(1-$B$38)^AA$3+AA40)</f>
        <v>176.592929088382</v>
      </c>
      <c r="AB41" s="51" t="n">
        <f aca="false">IF(AB$3=0,0,in_C01*in_C06*(1-$B$38)^AB$3+AB40)</f>
        <v>173.944035152056</v>
      </c>
      <c r="AC41" s="51" t="n">
        <f aca="false">IF(AC$3=0,0,in_C01*in_C06*(1-$B$38)^AC$3+AC40)</f>
        <v>171.334874624776</v>
      </c>
      <c r="AD41" s="51" t="n">
        <f aca="false">IF(AD$3=0,0,in_C01*in_C06*(1-$B$38)^AD$3+AD40)</f>
        <v>168.764851505404</v>
      </c>
      <c r="AE41" s="51" t="n">
        <f aca="false">IF(AE$3=0,0,in_C01*in_C06*(1-$B$38)^AE$3+AE40)</f>
        <v>166.233378732823</v>
      </c>
      <c r="AF41" s="51" t="n">
        <f aca="false">IF(AF$3=0,0,in_C01*in_C06*(1-$B$38)^AF$3+AF40)</f>
        <v>163.739878051831</v>
      </c>
      <c r="AG41" s="51" t="n">
        <f aca="false">IF(AG$3=0,0,in_C01*in_C06*(1-$B$38)^AG$3+AG40)</f>
        <v>161.283779881053</v>
      </c>
      <c r="AH41" s="51" t="n">
        <f aca="false">IF(AH$3=0,0,in_C01*in_C06*(1-$B$38)^AH$3+AH40)</f>
        <v>158.864523182837</v>
      </c>
    </row>
    <row r="42" customFormat="false" ht="15" hidden="false" customHeight="true" outlineLevel="0" collapsed="false">
      <c r="A42" s="33" t="s">
        <v>1387</v>
      </c>
      <c r="D42" s="52" t="n">
        <f aca="false">IF(D$3=0,0,(MAX(0,in_C01-D41)+in_H01*in_H02*MIN(in_C01,D41)*(1-$B$39))*c_VST)</f>
        <v>0</v>
      </c>
      <c r="E42" s="52" t="n">
        <f aca="false">IF(E$3=0,0,(MAX(0,in_C01-E41)+in_H01*in_H02*MIN(in_C01,E41)*(1-$B$39))*c_VST)</f>
        <v>32390.4666228559</v>
      </c>
      <c r="F42" s="52" t="n">
        <f aca="false">IF(F$3=0,0,(MAX(0,in_C01-F41)+in_H01*in_H02*MIN(in_C01,F41)*(1-$B$39))*c_VST)</f>
        <v>32390.4666228559</v>
      </c>
      <c r="G42" s="52" t="n">
        <f aca="false">IF(G$3=0,0,(MAX(0,in_C01-G41)+in_H01*in_H02*MIN(in_C01,G41)*(1-$B$39))*c_VST)</f>
        <v>32390.4666228559</v>
      </c>
      <c r="H42" s="52" t="n">
        <f aca="false">IF(H$3=0,0,(MAX(0,in_C01-H41)+in_H01*in_H02*MIN(in_C01,H41)*(1-$B$39))*c_VST)</f>
        <v>32390.4666228559</v>
      </c>
      <c r="I42" s="52" t="n">
        <f aca="false">IF(I$3=0,0,(MAX(0,in_C01-I41)+in_H01*in_H02*MIN(in_C01,I41)*(1-$B$39))*c_VST)</f>
        <v>32390.4666228559</v>
      </c>
      <c r="J42" s="52" t="n">
        <f aca="false">IF(J$3=0,0,(MAX(0,in_C01-J41)+in_H01*in_H02*MIN(in_C01,J41)*(1-$B$39))*c_VST)</f>
        <v>32390.4666228559</v>
      </c>
      <c r="K42" s="52" t="n">
        <f aca="false">IF(K$3=0,0,(MAX(0,in_C01-K41)+in_H01*in_H02*MIN(in_C01,K41)*(1-$B$39))*c_VST)</f>
        <v>32390.4666228559</v>
      </c>
      <c r="L42" s="52" t="n">
        <f aca="false">IF(L$3=0,0,(MAX(0,in_C01-L41)+in_H01*in_H02*MIN(in_C01,L41)*(1-$B$39))*c_VST)</f>
        <v>32390.4666228559</v>
      </c>
      <c r="M42" s="52" t="n">
        <f aca="false">IF(M$3=0,0,(MAX(0,in_C01-M41)+in_H01*in_H02*MIN(in_C01,M41)*(1-$B$39))*c_VST)</f>
        <v>32390.4666228559</v>
      </c>
      <c r="N42" s="52" t="n">
        <f aca="false">IF(N$3=0,0,(MAX(0,in_C01-N41)+in_H01*in_H02*MIN(in_C01,N41)*(1-$B$39))*c_VST)</f>
        <v>32390.4666228559</v>
      </c>
      <c r="O42" s="52" t="n">
        <f aca="false">IF(O$3=0,0,(MAX(0,in_C01-O41)+in_H01*in_H02*MIN(in_C01,O41)*(1-$B$39))*c_VST)</f>
        <v>32390.4666228559</v>
      </c>
      <c r="P42" s="52" t="n">
        <f aca="false">IF(P$3=0,0,(MAX(0,in_C01-P41)+in_H01*in_H02*MIN(in_C01,P41)*(1-$B$39))*c_VST)</f>
        <v>32390.4666228559</v>
      </c>
      <c r="Q42" s="52" t="n">
        <f aca="false">IF(Q$3=0,0,(MAX(0,in_C01-Q41)+in_H01*in_H02*MIN(in_C01,Q41)*(1-$B$39))*c_VST)</f>
        <v>32390.4666228559</v>
      </c>
      <c r="R42" s="52" t="n">
        <f aca="false">IF(R$3=0,0,(MAX(0,in_C01-R41)+in_H01*in_H02*MIN(in_C01,R41)*(1-$B$39))*c_VST)</f>
        <v>32390.4666228559</v>
      </c>
      <c r="S42" s="52" t="n">
        <f aca="false">IF(S$3=0,0,(MAX(0,in_C01-S41)+in_H01*in_H02*MIN(in_C01,S41)*(1-$B$39))*c_VST)</f>
        <v>33723.6034893184</v>
      </c>
      <c r="T42" s="52" t="n">
        <f aca="false">IF(T$3=0,0,(MAX(0,in_C01-T41)+in_H01*in_H02*MIN(in_C01,T41)*(1-$B$39))*c_VST)</f>
        <v>39329.1582337439</v>
      </c>
      <c r="U42" s="52" t="n">
        <f aca="false">IF(U$3=0,0,(MAX(0,in_C01-U41)+in_H01*in_H02*MIN(in_C01,U41)*(1-$B$39))*c_VST)</f>
        <v>44850.629657003</v>
      </c>
      <c r="V42" s="52" t="n">
        <f aca="false">IF(V$3=0,0,(MAX(0,in_C01-V41)+in_H01*in_H02*MIN(in_C01,V41)*(1-$B$39))*c_VST)</f>
        <v>50289.2790089132</v>
      </c>
      <c r="W42" s="52" t="n">
        <f aca="false">IF(W$3=0,0,(MAX(0,in_C01-W41)+in_H01*in_H02*MIN(in_C01,W41)*(1-$B$39))*c_VST)</f>
        <v>55646.3486205448</v>
      </c>
      <c r="X42" s="52" t="n">
        <f aca="false">IF(X$3=0,0,(MAX(0,in_C01-X41)+in_H01*in_H02*MIN(in_C01,X41)*(1-$B$39))*c_VST)</f>
        <v>60923.0621880019</v>
      </c>
      <c r="Y42" s="52" t="n">
        <f aca="false">IF(Y$3=0,0,(MAX(0,in_C01-Y41)+in_H01*in_H02*MIN(in_C01,Y41)*(1-$B$39))*c_VST)</f>
        <v>66120.6250519472</v>
      </c>
      <c r="Z42" s="52" t="n">
        <f aca="false">IF(Z$3=0,0,(MAX(0,in_C01-Z41)+in_H01*in_H02*MIN(in_C01,Z41)*(1-$B$39))*c_VST)</f>
        <v>71240.2244729332</v>
      </c>
      <c r="AA42" s="52" t="n">
        <f aca="false">IF(AA$3=0,0,(MAX(0,in_C01-AA41)+in_H01*in_H02*MIN(in_C01,AA41)*(1-$B$39))*c_VST)</f>
        <v>76283.0299026045</v>
      </c>
      <c r="AB42" s="52" t="n">
        <f aca="false">IF(AB$3=0,0,(MAX(0,in_C01-AB41)+in_H01*in_H02*MIN(in_C01,AB41)*(1-$B$39))*c_VST)</f>
        <v>81250.1932508307</v>
      </c>
      <c r="AC42" s="52" t="n">
        <f aca="false">IF(AC$3=0,0,(MAX(0,in_C01-AC41)+in_H01*in_H02*MIN(in_C01,AC41)*(1-$B$39))*c_VST)</f>
        <v>86142.8491488335</v>
      </c>
      <c r="AD42" s="52" t="n">
        <f aca="false">IF(AD$3=0,0,(MAX(0,in_C01-AD41)+in_H01*in_H02*MIN(in_C01,AD41)*(1-$B$39))*c_VST)</f>
        <v>90962.1152083663</v>
      </c>
      <c r="AE42" s="52" t="n">
        <f aca="false">IF(AE$3=0,0,(MAX(0,in_C01-AE41)+in_H01*in_H02*MIN(in_C01,AE41)*(1-$B$39))*c_VST)</f>
        <v>95709.092277006</v>
      </c>
      <c r="AF42" s="52" t="n">
        <f aca="false">IF(AF$3=0,0,(MAX(0,in_C01-AF41)+in_H01*in_H02*MIN(in_C01,AF41)*(1-$B$39))*c_VST)</f>
        <v>100384.864689616</v>
      </c>
      <c r="AG42" s="52" t="n">
        <f aca="false">IF(AG$3=0,0,(MAX(0,in_C01-AG41)+in_H01*in_H02*MIN(in_C01,AG41)*(1-$B$39))*c_VST)</f>
        <v>104990.500516037</v>
      </c>
      <c r="AH42" s="52" t="n">
        <f aca="false">IF(AH$3=0,0,(MAX(0,in_C01-AH41)+in_H01*in_H02*MIN(in_C01,AH41)*(1-$B$39))*c_VST)</f>
        <v>109527.051805062</v>
      </c>
    </row>
    <row r="43" customFormat="false" ht="15" hidden="false" customHeight="true" outlineLevel="0" collapsed="false">
      <c r="A43" s="33" t="s">
        <v>1392</v>
      </c>
      <c r="D43" s="55" t="n">
        <f aca="false">D7-D42</f>
        <v>0</v>
      </c>
      <c r="E43" s="55" t="n">
        <f aca="false">E7-E42</f>
        <v>4277.98615773569</v>
      </c>
      <c r="F43" s="55" t="n">
        <f aca="false">F7-F42</f>
        <v>4277.98615773569</v>
      </c>
      <c r="G43" s="55" t="n">
        <f aca="false">G7-G42</f>
        <v>4277.98615773569</v>
      </c>
      <c r="H43" s="55" t="n">
        <f aca="false">H7-H42</f>
        <v>4277.98615773569</v>
      </c>
      <c r="I43" s="55" t="n">
        <f aca="false">I7-I42</f>
        <v>4277.98615773569</v>
      </c>
      <c r="J43" s="55" t="n">
        <f aca="false">J7-J42</f>
        <v>4277.98615773569</v>
      </c>
      <c r="K43" s="55" t="n">
        <f aca="false">K7-K42</f>
        <v>4277.98615773569</v>
      </c>
      <c r="L43" s="55" t="n">
        <f aca="false">L7-L42</f>
        <v>4277.98615773569</v>
      </c>
      <c r="M43" s="55" t="n">
        <f aca="false">M7-M42</f>
        <v>4277.98615773569</v>
      </c>
      <c r="N43" s="55" t="n">
        <f aca="false">N7-N42</f>
        <v>4277.98615773569</v>
      </c>
      <c r="O43" s="55" t="n">
        <f aca="false">O7-O42</f>
        <v>4277.98615773569</v>
      </c>
      <c r="P43" s="55" t="n">
        <f aca="false">P7-P42</f>
        <v>4277.98615773569</v>
      </c>
      <c r="Q43" s="55" t="n">
        <f aca="false">Q7-Q42</f>
        <v>4277.98615773569</v>
      </c>
      <c r="R43" s="55" t="n">
        <f aca="false">R7-R42</f>
        <v>4277.98615773569</v>
      </c>
      <c r="S43" s="55" t="n">
        <f aca="false">S7-S42</f>
        <v>4262.77927332737</v>
      </c>
      <c r="T43" s="55" t="n">
        <f aca="false">T7-T42</f>
        <v>4198.83758422745</v>
      </c>
      <c r="U43" s="55" t="n">
        <f aca="false">U7-U42</f>
        <v>4135.85502046405</v>
      </c>
      <c r="V43" s="55" t="n">
        <f aca="false">V7-V42</f>
        <v>4073.81719515708</v>
      </c>
      <c r="W43" s="55" t="n">
        <f aca="false">W7-W42</f>
        <v>4012.70993722973</v>
      </c>
      <c r="X43" s="55" t="n">
        <f aca="false">X7-X42</f>
        <v>3952.51928817128</v>
      </c>
      <c r="Y43" s="55" t="n">
        <f aca="false">Y7-Y42</f>
        <v>3893.23149884872</v>
      </c>
      <c r="Z43" s="55" t="n">
        <f aca="false">Z7-Z42</f>
        <v>3834.83302636599</v>
      </c>
      <c r="AA43" s="55" t="n">
        <f aca="false">AA7-AA42</f>
        <v>3777.31053097048</v>
      </c>
      <c r="AB43" s="55" t="n">
        <f aca="false">AB7-AB42</f>
        <v>3720.65087300594</v>
      </c>
      <c r="AC43" s="55" t="n">
        <f aca="false">AC7-AC42</f>
        <v>3664.84110991085</v>
      </c>
      <c r="AD43" s="55" t="n">
        <f aca="false">AD7-AD42</f>
        <v>3609.86849326218</v>
      </c>
      <c r="AE43" s="55" t="n">
        <f aca="false">AE7-AE42</f>
        <v>3555.72046586325</v>
      </c>
      <c r="AF43" s="55" t="n">
        <f aca="false">AF7-AF42</f>
        <v>3502.38465887531</v>
      </c>
      <c r="AG43" s="55" t="n">
        <f aca="false">AG7-AG42</f>
        <v>3449.84888899217</v>
      </c>
      <c r="AH43" s="55" t="n">
        <f aca="false">AH7-AH42</f>
        <v>3398.10115565728</v>
      </c>
    </row>
    <row r="44" customFormat="false" ht="15" hidden="false" customHeight="true" outlineLevel="0" collapsed="false">
      <c r="A44" s="53" t="s">
        <v>1395</v>
      </c>
    </row>
    <row r="45" customFormat="false" ht="15" hidden="false" customHeight="true" outlineLevel="0" collapsed="false">
      <c r="A45" s="33" t="s">
        <v>1389</v>
      </c>
      <c r="B45" s="54" t="n">
        <f aca="false">in_H04-in_F05*in_F03</f>
        <v>0.014</v>
      </c>
    </row>
    <row r="46" customFormat="false" ht="15" hidden="false" customHeight="true" outlineLevel="0" collapsed="false">
      <c r="A46" s="33" t="s">
        <v>1390</v>
      </c>
      <c r="B46" s="54" t="n">
        <f aca="false">in_F03*in_H03*in_F04</f>
        <v>0.03</v>
      </c>
    </row>
    <row r="47" customFormat="false" ht="15" hidden="false" customHeight="true" outlineLevel="0" collapsed="false">
      <c r="A47" s="33" t="s">
        <v>1391</v>
      </c>
      <c r="D47" s="51" t="n">
        <f aca="false">IF(D$3=0,0,0)</f>
        <v>0</v>
      </c>
      <c r="E47" s="51" t="n">
        <f aca="false">IF(E$3=0,0,0)</f>
        <v>0</v>
      </c>
      <c r="F47" s="51" t="n">
        <f aca="false">IF(F$3=0,0,0)</f>
        <v>0</v>
      </c>
      <c r="G47" s="51" t="n">
        <f aca="false">IF(G$3=0,0,0)</f>
        <v>0</v>
      </c>
      <c r="H47" s="51" t="n">
        <f aca="false">IF(H$3=0,0,0)</f>
        <v>0</v>
      </c>
      <c r="I47" s="51" t="n">
        <f aca="false">IF(I$3=0,0,0)</f>
        <v>0</v>
      </c>
      <c r="J47" s="51" t="n">
        <f aca="false">IF(J$3=0,0,0)</f>
        <v>0</v>
      </c>
      <c r="K47" s="51" t="n">
        <f aca="false">IF(K$3=0,0,0)</f>
        <v>0</v>
      </c>
      <c r="L47" s="51" t="n">
        <f aca="false">IF(L$3=0,0,0)</f>
        <v>0</v>
      </c>
      <c r="M47" s="51" t="n">
        <f aca="false">IF(M$3=0,0,0)</f>
        <v>0</v>
      </c>
      <c r="N47" s="51" t="n">
        <f aca="false">IF(N$3=0,0,0)</f>
        <v>0</v>
      </c>
      <c r="O47" s="51" t="n">
        <f aca="false">IF(O$3=0,0,0)</f>
        <v>0</v>
      </c>
      <c r="P47" s="51" t="n">
        <f aca="false">IF(P$3=0,0,0)</f>
        <v>0</v>
      </c>
      <c r="Q47" s="51" t="n">
        <f aca="false">IF(Q$3=0,0,0)</f>
        <v>0</v>
      </c>
      <c r="R47" s="51" t="n">
        <f aca="false">IF(R$3=0,0,0)</f>
        <v>0</v>
      </c>
      <c r="S47" s="51" t="n">
        <f aca="false">IF(S$3=0,0,0)</f>
        <v>0</v>
      </c>
      <c r="T47" s="51" t="n">
        <f aca="false">IF(T$3=0,0,0)</f>
        <v>0</v>
      </c>
      <c r="U47" s="51" t="n">
        <f aca="false">IF(U$3=0,0,0)</f>
        <v>0</v>
      </c>
      <c r="V47" s="51" t="n">
        <f aca="false">IF(V$3=0,0,0)</f>
        <v>0</v>
      </c>
      <c r="W47" s="51" t="n">
        <f aca="false">IF(W$3=0,0,0)</f>
        <v>0</v>
      </c>
      <c r="X47" s="51" t="n">
        <f aca="false">IF(X$3=0,0,0)</f>
        <v>0</v>
      </c>
      <c r="Y47" s="51" t="n">
        <f aca="false">IF(Y$3=0,0,0)</f>
        <v>0</v>
      </c>
      <c r="Z47" s="51" t="n">
        <f aca="false">IF(Z$3=0,0,0)</f>
        <v>0</v>
      </c>
      <c r="AA47" s="51" t="n">
        <f aca="false">IF(AA$3=0,0,0)</f>
        <v>0</v>
      </c>
      <c r="AB47" s="51" t="n">
        <f aca="false">IF(AB$3=0,0,0)</f>
        <v>0</v>
      </c>
      <c r="AC47" s="51" t="n">
        <f aca="false">IF(AC$3=0,0,0)</f>
        <v>0</v>
      </c>
      <c r="AD47" s="51" t="n">
        <f aca="false">IF(AD$3=0,0,0)</f>
        <v>0</v>
      </c>
      <c r="AE47" s="51" t="n">
        <f aca="false">IF(AE$3=0,0,0)</f>
        <v>0</v>
      </c>
      <c r="AF47" s="51" t="n">
        <f aca="false">IF(AF$3=0,0,0)</f>
        <v>0</v>
      </c>
      <c r="AG47" s="51" t="n">
        <f aca="false">IF(AG$3=0,0,0)</f>
        <v>0</v>
      </c>
      <c r="AH47" s="51" t="n">
        <f aca="false">IF(AH$3=0,0,0)</f>
        <v>0</v>
      </c>
    </row>
    <row r="48" customFormat="false" ht="15" hidden="false" customHeight="true" outlineLevel="0" collapsed="false">
      <c r="A48" s="33" t="s">
        <v>1386</v>
      </c>
      <c r="D48" s="51" t="n">
        <f aca="false">IF(D$3=0,0,in_C01*in_C06*(1-$B$45)^D$3+D47)</f>
        <v>0</v>
      </c>
      <c r="E48" s="51" t="n">
        <f aca="false">IF(E$3=0,0,in_C01*in_C06*(1-$B$45)^E$3+E47)</f>
        <v>246.5</v>
      </c>
      <c r="F48" s="51" t="n">
        <f aca="false">IF(F$3=0,0,in_C01*in_C06*(1-$B$45)^F$3+F47)</f>
        <v>243.049</v>
      </c>
      <c r="G48" s="51" t="n">
        <f aca="false">IF(G$3=0,0,in_C01*in_C06*(1-$B$45)^G$3+G47)</f>
        <v>239.646314</v>
      </c>
      <c r="H48" s="51" t="n">
        <f aca="false">IF(H$3=0,0,in_C01*in_C06*(1-$B$45)^H$3+H47)</f>
        <v>236.291265604</v>
      </c>
      <c r="I48" s="51" t="n">
        <f aca="false">IF(I$3=0,0,in_C01*in_C06*(1-$B$45)^I$3+I47)</f>
        <v>232.983187885544</v>
      </c>
      <c r="J48" s="51" t="n">
        <f aca="false">IF(J$3=0,0,in_C01*in_C06*(1-$B$45)^J$3+J47)</f>
        <v>229.721423255146</v>
      </c>
      <c r="K48" s="51" t="n">
        <f aca="false">IF(K$3=0,0,in_C01*in_C06*(1-$B$45)^K$3+K47)</f>
        <v>226.505323329574</v>
      </c>
      <c r="L48" s="51" t="n">
        <f aca="false">IF(L$3=0,0,in_C01*in_C06*(1-$B$45)^L$3+L47)</f>
        <v>223.33424880296</v>
      </c>
      <c r="M48" s="51" t="n">
        <f aca="false">IF(M$3=0,0,in_C01*in_C06*(1-$B$45)^M$3+M47)</f>
        <v>220.207569319719</v>
      </c>
      <c r="N48" s="51" t="n">
        <f aca="false">IF(N$3=0,0,in_C01*in_C06*(1-$B$45)^N$3+N47)</f>
        <v>217.124663349243</v>
      </c>
      <c r="O48" s="51" t="n">
        <f aca="false">IF(O$3=0,0,in_C01*in_C06*(1-$B$45)^O$3+O47)</f>
        <v>214.084918062353</v>
      </c>
      <c r="P48" s="51" t="n">
        <f aca="false">IF(P$3=0,0,in_C01*in_C06*(1-$B$45)^P$3+P47)</f>
        <v>211.08772920948</v>
      </c>
      <c r="Q48" s="51" t="n">
        <f aca="false">IF(Q$3=0,0,in_C01*in_C06*(1-$B$45)^Q$3+Q47)</f>
        <v>208.132501000548</v>
      </c>
      <c r="R48" s="51" t="n">
        <f aca="false">IF(R$3=0,0,in_C01*in_C06*(1-$B$45)^R$3+R47)</f>
        <v>205.21864598654</v>
      </c>
      <c r="S48" s="51" t="n">
        <f aca="false">IF(S$3=0,0,in_C01*in_C06*(1-$B$45)^S$3+S47)</f>
        <v>202.345584942728</v>
      </c>
      <c r="T48" s="51" t="n">
        <f aca="false">IF(T$3=0,0,in_C01*in_C06*(1-$B$45)^T$3+T47)</f>
        <v>199.51274675353</v>
      </c>
      <c r="U48" s="51" t="n">
        <f aca="false">IF(U$3=0,0,in_C01*in_C06*(1-$B$45)^U$3+U47)</f>
        <v>196.719568298981</v>
      </c>
      <c r="V48" s="51" t="n">
        <f aca="false">IF(V$3=0,0,in_C01*in_C06*(1-$B$45)^V$3+V47)</f>
        <v>193.965494342795</v>
      </c>
      <c r="W48" s="51" t="n">
        <f aca="false">IF(W$3=0,0,in_C01*in_C06*(1-$B$45)^W$3+W47)</f>
        <v>191.249977421996</v>
      </c>
      <c r="X48" s="51" t="n">
        <f aca="false">IF(X$3=0,0,in_C01*in_C06*(1-$B$45)^X$3+X47)</f>
        <v>188.572477738088</v>
      </c>
      <c r="Y48" s="51" t="n">
        <f aca="false">IF(Y$3=0,0,in_C01*in_C06*(1-$B$45)^Y$3+Y47)</f>
        <v>185.932463049755</v>
      </c>
      <c r="Z48" s="51" t="n">
        <f aca="false">IF(Z$3=0,0,in_C01*in_C06*(1-$B$45)^Z$3+Z47)</f>
        <v>183.329408567058</v>
      </c>
      <c r="AA48" s="51" t="n">
        <f aca="false">IF(AA$3=0,0,in_C01*in_C06*(1-$B$45)^AA$3+AA47)</f>
        <v>180.762796847119</v>
      </c>
      <c r="AB48" s="51" t="n">
        <f aca="false">IF(AB$3=0,0,in_C01*in_C06*(1-$B$45)^AB$3+AB47)</f>
        <v>178.23211769126</v>
      </c>
      <c r="AC48" s="51" t="n">
        <f aca="false">IF(AC$3=0,0,in_C01*in_C06*(1-$B$45)^AC$3+AC47)</f>
        <v>175.736868043582</v>
      </c>
      <c r="AD48" s="51" t="n">
        <f aca="false">IF(AD$3=0,0,in_C01*in_C06*(1-$B$45)^AD$3+AD47)</f>
        <v>173.276551890972</v>
      </c>
      <c r="AE48" s="51" t="n">
        <f aca="false">IF(AE$3=0,0,in_C01*in_C06*(1-$B$45)^AE$3+AE47)</f>
        <v>170.850680164498</v>
      </c>
      <c r="AF48" s="51" t="n">
        <f aca="false">IF(AF$3=0,0,in_C01*in_C06*(1-$B$45)^AF$3+AF47)</f>
        <v>168.458770642195</v>
      </c>
      <c r="AG48" s="51" t="n">
        <f aca="false">IF(AG$3=0,0,in_C01*in_C06*(1-$B$45)^AG$3+AG47)</f>
        <v>166.100347853205</v>
      </c>
      <c r="AH48" s="51" t="n">
        <f aca="false">IF(AH$3=0,0,in_C01*in_C06*(1-$B$45)^AH$3+AH47)</f>
        <v>163.77494298326</v>
      </c>
    </row>
    <row r="49" customFormat="false" ht="15" hidden="false" customHeight="true" outlineLevel="0" collapsed="false">
      <c r="A49" s="33" t="s">
        <v>1387</v>
      </c>
      <c r="D49" s="52" t="n">
        <f aca="false">IF(D$3=0,0,(MAX(0,in_C01-D48)+in_H01*in_H02*MIN(in_C01,D48)*(1-$B$46))*c_VST)</f>
        <v>0</v>
      </c>
      <c r="E49" s="52" t="n">
        <f aca="false">IF(E$3=0,0,(MAX(0,in_C01-E48)+in_H01*in_H02*MIN(in_C01,E48)*(1-$B$46))*c_VST)</f>
        <v>35568.3991971738</v>
      </c>
      <c r="F49" s="52" t="n">
        <f aca="false">IF(F$3=0,0,(MAX(0,in_C01-F48)+in_H01*in_H02*MIN(in_C01,F48)*(1-$B$46))*c_VST)</f>
        <v>35568.3991971738</v>
      </c>
      <c r="G49" s="52" t="n">
        <f aca="false">IF(G$3=0,0,(MAX(0,in_C01-G48)+in_H01*in_H02*MIN(in_C01,G48)*(1-$B$46))*c_VST)</f>
        <v>35568.3991971738</v>
      </c>
      <c r="H49" s="52" t="n">
        <f aca="false">IF(H$3=0,0,(MAX(0,in_C01-H48)+in_H01*in_H02*MIN(in_C01,H48)*(1-$B$46))*c_VST)</f>
        <v>35568.3991971738</v>
      </c>
      <c r="I49" s="52" t="n">
        <f aca="false">IF(I$3=0,0,(MAX(0,in_C01-I48)+in_H01*in_H02*MIN(in_C01,I48)*(1-$B$46))*c_VST)</f>
        <v>35568.3991971738</v>
      </c>
      <c r="J49" s="52" t="n">
        <f aca="false">IF(J$3=0,0,(MAX(0,in_C01-J48)+in_H01*in_H02*MIN(in_C01,J48)*(1-$B$46))*c_VST)</f>
        <v>35568.3991971738</v>
      </c>
      <c r="K49" s="52" t="n">
        <f aca="false">IF(K$3=0,0,(MAX(0,in_C01-K48)+in_H01*in_H02*MIN(in_C01,K48)*(1-$B$46))*c_VST)</f>
        <v>35568.3991971738</v>
      </c>
      <c r="L49" s="52" t="n">
        <f aca="false">IF(L$3=0,0,(MAX(0,in_C01-L48)+in_H01*in_H02*MIN(in_C01,L48)*(1-$B$46))*c_VST)</f>
        <v>35568.3991971738</v>
      </c>
      <c r="M49" s="52" t="n">
        <f aca="false">IF(M$3=0,0,(MAX(0,in_C01-M48)+in_H01*in_H02*MIN(in_C01,M48)*(1-$B$46))*c_VST)</f>
        <v>35568.3991971738</v>
      </c>
      <c r="N49" s="52" t="n">
        <f aca="false">IF(N$3=0,0,(MAX(0,in_C01-N48)+in_H01*in_H02*MIN(in_C01,N48)*(1-$B$46))*c_VST)</f>
        <v>35568.3991971738</v>
      </c>
      <c r="O49" s="52" t="n">
        <f aca="false">IF(O$3=0,0,(MAX(0,in_C01-O48)+in_H01*in_H02*MIN(in_C01,O48)*(1-$B$46))*c_VST)</f>
        <v>35568.3991971738</v>
      </c>
      <c r="P49" s="52" t="n">
        <f aca="false">IF(P$3=0,0,(MAX(0,in_C01-P48)+in_H01*in_H02*MIN(in_C01,P48)*(1-$B$46))*c_VST)</f>
        <v>35568.3991971738</v>
      </c>
      <c r="Q49" s="52" t="n">
        <f aca="false">IF(Q$3=0,0,(MAX(0,in_C01-Q48)+in_H01*in_H02*MIN(in_C01,Q48)*(1-$B$46))*c_VST)</f>
        <v>35568.3991971738</v>
      </c>
      <c r="R49" s="52" t="n">
        <f aca="false">IF(R$3=0,0,(MAX(0,in_C01-R48)+in_H01*in_H02*MIN(in_C01,R48)*(1-$B$46))*c_VST)</f>
        <v>35568.3991971738</v>
      </c>
      <c r="S49" s="52" t="n">
        <f aca="false">IF(S$3=0,0,(MAX(0,in_C01-S48)+in_H01*in_H02*MIN(in_C01,S48)*(1-$B$46))*c_VST)</f>
        <v>35568.3991971738</v>
      </c>
      <c r="T49" s="52" t="n">
        <f aca="false">IF(T$3=0,0,(MAX(0,in_C01-T48)+in_H01*in_H02*MIN(in_C01,T48)*(1-$B$46))*c_VST)</f>
        <v>36474.3463661803</v>
      </c>
      <c r="U49" s="52" t="n">
        <f aca="false">IF(U$3=0,0,(MAX(0,in_C01-U48)+in_H01*in_H02*MIN(in_C01,U48)*(1-$B$46))*c_VST)</f>
        <v>41667.6870607013</v>
      </c>
      <c r="V49" s="52" t="n">
        <f aca="false">IF(V$3=0,0,(MAX(0,in_C01-V48)+in_H01*in_H02*MIN(in_C01,V48)*(1-$B$46))*c_VST)</f>
        <v>46788.3209854991</v>
      </c>
      <c r="W49" s="52" t="n">
        <f aca="false">IF(W$3=0,0,(MAX(0,in_C01-W48)+in_H01*in_H02*MIN(in_C01,W48)*(1-$B$46))*c_VST)</f>
        <v>51837.2660353497</v>
      </c>
      <c r="X49" s="52" t="n">
        <f aca="false">IF(X$3=0,0,(MAX(0,in_C01-X48)+in_H01*in_H02*MIN(in_C01,X48)*(1-$B$46))*c_VST)</f>
        <v>56815.5258545024</v>
      </c>
      <c r="Y49" s="52" t="n">
        <f aca="false">IF(Y$3=0,0,(MAX(0,in_C01-Y48)+in_H01*in_H02*MIN(in_C01,Y48)*(1-$B$46))*c_VST)</f>
        <v>61724.0900361869</v>
      </c>
      <c r="Z49" s="52" t="n">
        <f aca="false">IF(Z$3=0,0,(MAX(0,in_C01-Z48)+in_H01*in_H02*MIN(in_C01,Z48)*(1-$B$46))*c_VST)</f>
        <v>66563.9343193279</v>
      </c>
      <c r="AA49" s="52" t="n">
        <f aca="false">IF(AA$3=0,0,(MAX(0,in_C01-AA48)+in_H01*in_H02*MIN(in_C01,AA48)*(1-$B$46))*c_VST)</f>
        <v>71336.0207825049</v>
      </c>
      <c r="AB49" s="52" t="n">
        <f aca="false">IF(AB$3=0,0,(MAX(0,in_C01-AB48)+in_H01*in_H02*MIN(in_C01,AB48)*(1-$B$46))*c_VST)</f>
        <v>76041.2980351974</v>
      </c>
      <c r="AC49" s="52" t="n">
        <f aca="false">IF(AC$3=0,0,(MAX(0,in_C01-AC48)+in_H01*in_H02*MIN(in_C01,AC48)*(1-$B$46))*c_VST)</f>
        <v>80680.7014063523</v>
      </c>
      <c r="AD49" s="52" t="n">
        <f aca="false">IF(AD$3=0,0,(MAX(0,in_C01-AD48)+in_H01*in_H02*MIN(in_C01,AD48)*(1-$B$46))*c_VST)</f>
        <v>85255.1531303109</v>
      </c>
      <c r="AE49" s="52" t="n">
        <f aca="false">IF(AE$3=0,0,(MAX(0,in_C01-AE48)+in_H01*in_H02*MIN(in_C01,AE48)*(1-$B$46))*c_VST)</f>
        <v>89765.5625301341</v>
      </c>
      <c r="AF49" s="52" t="n">
        <f aca="false">IF(AF$3=0,0,(MAX(0,in_C01-AF48)+in_H01*in_H02*MIN(in_C01,AF48)*(1-$B$46))*c_VST)</f>
        <v>94212.8261983598</v>
      </c>
      <c r="AG49" s="52" t="n">
        <f aca="false">IF(AG$3=0,0,(MAX(0,in_C01-AG48)+in_H01*in_H02*MIN(in_C01,AG48)*(1-$B$46))*c_VST)</f>
        <v>98597.8281752304</v>
      </c>
      <c r="AH49" s="52" t="n">
        <f aca="false">IF(AH$3=0,0,(MAX(0,in_C01-AH48)+in_H01*in_H02*MIN(in_C01,AH48)*(1-$B$46))*c_VST)</f>
        <v>102921.440124425</v>
      </c>
    </row>
    <row r="50" customFormat="false" ht="15" hidden="false" customHeight="true" outlineLevel="0" collapsed="false">
      <c r="A50" s="33" t="s">
        <v>1392</v>
      </c>
      <c r="D50" s="55" t="n">
        <f aca="false">D7-D49</f>
        <v>0</v>
      </c>
      <c r="E50" s="55" t="n">
        <f aca="false">E7-E49</f>
        <v>1100.05358341775</v>
      </c>
      <c r="F50" s="55" t="n">
        <f aca="false">F7-F49</f>
        <v>1100.05358341775</v>
      </c>
      <c r="G50" s="55" t="n">
        <f aca="false">G7-G49</f>
        <v>1100.05358341775</v>
      </c>
      <c r="H50" s="55" t="n">
        <f aca="false">H7-H49</f>
        <v>1100.05358341775</v>
      </c>
      <c r="I50" s="55" t="n">
        <f aca="false">I7-I49</f>
        <v>1100.05358341775</v>
      </c>
      <c r="J50" s="55" t="n">
        <f aca="false">J7-J49</f>
        <v>1100.05358341775</v>
      </c>
      <c r="K50" s="55" t="n">
        <f aca="false">K7-K49</f>
        <v>1100.05358341775</v>
      </c>
      <c r="L50" s="55" t="n">
        <f aca="false">L7-L49</f>
        <v>1100.05358341775</v>
      </c>
      <c r="M50" s="55" t="n">
        <f aca="false">M7-M49</f>
        <v>1100.05358341775</v>
      </c>
      <c r="N50" s="55" t="n">
        <f aca="false">N7-N49</f>
        <v>1100.05358341775</v>
      </c>
      <c r="O50" s="55" t="n">
        <f aca="false">O7-O49</f>
        <v>1100.05358341775</v>
      </c>
      <c r="P50" s="55" t="n">
        <f aca="false">P7-P49</f>
        <v>1100.05358341775</v>
      </c>
      <c r="Q50" s="55" t="n">
        <f aca="false">Q7-Q49</f>
        <v>1100.05358341775</v>
      </c>
      <c r="R50" s="55" t="n">
        <f aca="false">R7-R49</f>
        <v>1100.05358341775</v>
      </c>
      <c r="S50" s="55" t="n">
        <f aca="false">S7-S49</f>
        <v>2417.98356547198</v>
      </c>
      <c r="T50" s="55" t="n">
        <f aca="false">T7-T49</f>
        <v>7053.64945179112</v>
      </c>
      <c r="U50" s="55" t="n">
        <f aca="false">U7-U49</f>
        <v>7318.79761676571</v>
      </c>
      <c r="V50" s="55" t="n">
        <f aca="false">V7-V49</f>
        <v>7574.77521857125</v>
      </c>
      <c r="W50" s="55" t="n">
        <f aca="false">W7-W49</f>
        <v>7821.79252242486</v>
      </c>
      <c r="X50" s="55" t="n">
        <f aca="false">X7-X49</f>
        <v>8060.05562167082</v>
      </c>
      <c r="Y50" s="55" t="n">
        <f aca="false">Y7-Y49</f>
        <v>8289.76651460895</v>
      </c>
      <c r="Z50" s="55" t="n">
        <f aca="false">Z7-Z49</f>
        <v>8511.12317997133</v>
      </c>
      <c r="AA50" s="55" t="n">
        <f aca="false">AA7-AA49</f>
        <v>8724.31965107008</v>
      </c>
      <c r="AB50" s="55" t="n">
        <f aca="false">AB7-AB49</f>
        <v>8929.5460886392</v>
      </c>
      <c r="AC50" s="55" t="n">
        <f aca="false">AC7-AC49</f>
        <v>9126.98885239211</v>
      </c>
      <c r="AD50" s="55" t="n">
        <f aca="false">AD7-AD49</f>
        <v>9316.83057131759</v>
      </c>
      <c r="AE50" s="55" t="n">
        <f aca="false">AE7-AE49</f>
        <v>9499.25021273513</v>
      </c>
      <c r="AF50" s="55" t="n">
        <f aca="false">AF7-AF49</f>
        <v>9674.4231501317</v>
      </c>
      <c r="AG50" s="55" t="n">
        <f aca="false">AG7-AG49</f>
        <v>9842.52122979907</v>
      </c>
      <c r="AH50" s="55" t="n">
        <f aca="false">AH7-AH49</f>
        <v>10003.7128362945</v>
      </c>
    </row>
    <row r="51" customFormat="false" ht="15" hidden="false" customHeight="true" outlineLevel="0" collapsed="false">
      <c r="A51" s="53" t="s">
        <v>1396</v>
      </c>
    </row>
    <row r="52" customFormat="false" ht="15" hidden="false" customHeight="true" outlineLevel="0" collapsed="false">
      <c r="A52" s="33" t="s">
        <v>1389</v>
      </c>
      <c r="B52" s="54" t="n">
        <f aca="false">in_H04-Portfolio!$C$9*in_S04-Portfolio!$C$16*in_F05*in_F03</f>
        <v>0.0135</v>
      </c>
    </row>
    <row r="53" customFormat="false" ht="15" hidden="false" customHeight="true" outlineLevel="0" collapsed="false">
      <c r="A53" s="33" t="s">
        <v>1390</v>
      </c>
      <c r="B53" s="54" t="n">
        <f aca="false">1-(1-in_I05*MAX(Portfolio!$C$5*in_P01,Portfolio!$C$9*c_stove_served))*(1-Portfolio!$C$6*Supply!$B$18)*(1-Portfolio!$C$15*Supply!$B$39)*(1-Portfolio!$C$16*Supply!$B$46)</f>
        <v>0.163759648350336</v>
      </c>
    </row>
    <row r="54" customFormat="false" ht="15" hidden="false" customHeight="true" outlineLevel="0" collapsed="false">
      <c r="A54" s="33" t="s">
        <v>1391</v>
      </c>
      <c r="D54" s="51" t="n">
        <f aca="false">IF(D$3=0,0,Portfolio!$C$6*D19+Portfolio!$C$7*D26*MIN(1,in_R03+Portfolio!$C$5*in_I06)/in_R03)</f>
        <v>0</v>
      </c>
      <c r="E54" s="51" t="n">
        <f aca="false">IF(E$3=0,0,Portfolio!$C$6*E19+Portfolio!$C$7*E26*MIN(1,in_R03+Portfolio!$C$5*in_I06)/in_R03)</f>
        <v>0</v>
      </c>
      <c r="F54" s="51" t="n">
        <f aca="false">IF(F$3=0,0,Portfolio!$C$6*F19+Portfolio!$C$7*F26*MIN(1,in_R03+Portfolio!$C$5*in_I06)/in_R03)</f>
        <v>0</v>
      </c>
      <c r="G54" s="51" t="n">
        <f aca="false">IF(G$3=0,0,Portfolio!$C$6*G19+Portfolio!$C$7*G26*MIN(1,in_R03+Portfolio!$C$5*in_I06)/in_R03)</f>
        <v>0</v>
      </c>
      <c r="H54" s="51" t="n">
        <f aca="false">IF(H$3=0,0,Portfolio!$C$6*H19+Portfolio!$C$7*H26*MIN(1,in_R03+Portfolio!$C$5*in_I06)/in_R03)</f>
        <v>0</v>
      </c>
      <c r="I54" s="51" t="n">
        <f aca="false">IF(I$3=0,0,Portfolio!$C$6*I19+Portfolio!$C$7*I26*MIN(1,in_R03+Portfolio!$C$5*in_I06)/in_R03)</f>
        <v>0</v>
      </c>
      <c r="J54" s="51" t="n">
        <f aca="false">IF(J$3=0,0,Portfolio!$C$6*J19+Portfolio!$C$7*J26*MIN(1,in_R03+Portfolio!$C$5*in_I06)/in_R03)</f>
        <v>0</v>
      </c>
      <c r="K54" s="51" t="n">
        <f aca="false">IF(K$3=0,0,Portfolio!$C$6*K19+Portfolio!$C$7*K26*MIN(1,in_R03+Portfolio!$C$5*in_I06)/in_R03)</f>
        <v>0</v>
      </c>
      <c r="L54" s="51" t="n">
        <f aca="false">IF(L$3=0,0,Portfolio!$C$6*L19+Portfolio!$C$7*L26*MIN(1,in_R03+Portfolio!$C$5*in_I06)/in_R03)</f>
        <v>0</v>
      </c>
      <c r="M54" s="51" t="n">
        <f aca="false">IF(M$3=0,0,Portfolio!$C$6*M19+Portfolio!$C$7*M26*MIN(1,in_R03+Portfolio!$C$5*in_I06)/in_R03)</f>
        <v>0</v>
      </c>
      <c r="N54" s="51" t="n">
        <f aca="false">IF(N$3=0,0,Portfolio!$C$6*N19+Portfolio!$C$7*N26*MIN(1,in_R03+Portfolio!$C$5*in_I06)/in_R03)</f>
        <v>0</v>
      </c>
      <c r="O54" s="51" t="n">
        <f aca="false">IF(O$3=0,0,Portfolio!$C$6*O19+Portfolio!$C$7*O26*MIN(1,in_R03+Portfolio!$C$5*in_I06)/in_R03)</f>
        <v>0</v>
      </c>
      <c r="P54" s="51" t="n">
        <f aca="false">IF(P$3=0,0,Portfolio!$C$6*P19+Portfolio!$C$7*P26*MIN(1,in_R03+Portfolio!$C$5*in_I06)/in_R03)</f>
        <v>0</v>
      </c>
      <c r="Q54" s="51" t="n">
        <f aca="false">IF(Q$3=0,0,Portfolio!$C$6*Q19+Portfolio!$C$7*Q26*MIN(1,in_R03+Portfolio!$C$5*in_I06)/in_R03)</f>
        <v>0</v>
      </c>
      <c r="R54" s="51" t="n">
        <f aca="false">IF(R$3=0,0,Portfolio!$C$6*R19+Portfolio!$C$7*R26*MIN(1,in_R03+Portfolio!$C$5*in_I06)/in_R03)</f>
        <v>0</v>
      </c>
      <c r="S54" s="51" t="n">
        <f aca="false">IF(S$3=0,0,Portfolio!$C$6*S19+Portfolio!$C$7*S26*MIN(1,in_R03+Portfolio!$C$5*in_I06)/in_R03)</f>
        <v>0</v>
      </c>
      <c r="T54" s="51" t="n">
        <f aca="false">IF(T$3=0,0,Portfolio!$C$6*T19+Portfolio!$C$7*T26*MIN(1,in_R03+Portfolio!$C$5*in_I06)/in_R03)</f>
        <v>0</v>
      </c>
      <c r="U54" s="51" t="n">
        <f aca="false">IF(U$3=0,0,Portfolio!$C$6*U19+Portfolio!$C$7*U26*MIN(1,in_R03+Portfolio!$C$5*in_I06)/in_R03)</f>
        <v>0</v>
      </c>
      <c r="V54" s="51" t="n">
        <f aca="false">IF(V$3=0,0,Portfolio!$C$6*V19+Portfolio!$C$7*V26*MIN(1,in_R03+Portfolio!$C$5*in_I06)/in_R03)</f>
        <v>0</v>
      </c>
      <c r="W54" s="51" t="n">
        <f aca="false">IF(W$3=0,0,Portfolio!$C$6*W19+Portfolio!$C$7*W26*MIN(1,in_R03+Portfolio!$C$5*in_I06)/in_R03)</f>
        <v>0</v>
      </c>
      <c r="X54" s="51" t="n">
        <f aca="false">IF(X$3=0,0,Portfolio!$C$6*X19+Portfolio!$C$7*X26*MIN(1,in_R03+Portfolio!$C$5*in_I06)/in_R03)</f>
        <v>0</v>
      </c>
      <c r="Y54" s="51" t="n">
        <f aca="false">IF(Y$3=0,0,Portfolio!$C$6*Y19+Portfolio!$C$7*Y26*MIN(1,in_R03+Portfolio!$C$5*in_I06)/in_R03)</f>
        <v>0</v>
      </c>
      <c r="Z54" s="51" t="n">
        <f aca="false">IF(Z$3=0,0,Portfolio!$C$6*Z19+Portfolio!$C$7*Z26*MIN(1,in_R03+Portfolio!$C$5*in_I06)/in_R03)</f>
        <v>0</v>
      </c>
      <c r="AA54" s="51" t="n">
        <f aca="false">IF(AA$3=0,0,Portfolio!$C$6*AA19+Portfolio!$C$7*AA26*MIN(1,in_R03+Portfolio!$C$5*in_I06)/in_R03)</f>
        <v>0</v>
      </c>
      <c r="AB54" s="51" t="n">
        <f aca="false">IF(AB$3=0,0,Portfolio!$C$6*AB19+Portfolio!$C$7*AB26*MIN(1,in_R03+Portfolio!$C$5*in_I06)/in_R03)</f>
        <v>0</v>
      </c>
      <c r="AC54" s="51" t="n">
        <f aca="false">IF(AC$3=0,0,Portfolio!$C$6*AC19+Portfolio!$C$7*AC26*MIN(1,in_R03+Portfolio!$C$5*in_I06)/in_R03)</f>
        <v>0</v>
      </c>
      <c r="AD54" s="51" t="n">
        <f aca="false">IF(AD$3=0,0,Portfolio!$C$6*AD19+Portfolio!$C$7*AD26*MIN(1,in_R03+Portfolio!$C$5*in_I06)/in_R03)</f>
        <v>0</v>
      </c>
      <c r="AE54" s="51" t="n">
        <f aca="false">IF(AE$3=0,0,Portfolio!$C$6*AE19+Portfolio!$C$7*AE26*MIN(1,in_R03+Portfolio!$C$5*in_I06)/in_R03)</f>
        <v>0</v>
      </c>
      <c r="AF54" s="51" t="n">
        <f aca="false">IF(AF$3=0,0,Portfolio!$C$6*AF19+Portfolio!$C$7*AF26*MIN(1,in_R03+Portfolio!$C$5*in_I06)/in_R03)</f>
        <v>0</v>
      </c>
      <c r="AG54" s="51" t="n">
        <f aca="false">IF(AG$3=0,0,Portfolio!$C$6*AG19+Portfolio!$C$7*AG26*MIN(1,in_R03+Portfolio!$C$5*in_I06)/in_R03)</f>
        <v>0</v>
      </c>
      <c r="AH54" s="51" t="n">
        <f aca="false">IF(AH$3=0,0,Portfolio!$C$6*AH19+Portfolio!$C$7*AH26*MIN(1,in_R03+Portfolio!$C$5*in_I06)/in_R03)</f>
        <v>0</v>
      </c>
    </row>
    <row r="55" customFormat="false" ht="15" hidden="false" customHeight="true" outlineLevel="0" collapsed="false">
      <c r="A55" s="33" t="s">
        <v>1386</v>
      </c>
      <c r="D55" s="51" t="n">
        <f aca="false">IF(D$3=0,0,in_C01*in_C06*(1-$B$52)^D$3+D54)</f>
        <v>0</v>
      </c>
      <c r="E55" s="51" t="n">
        <f aca="false">IF(E$3=0,0,in_C01*in_C06*(1-$B$52)^E$3+E54)</f>
        <v>246.625</v>
      </c>
      <c r="F55" s="51" t="n">
        <f aca="false">IF(F$3=0,0,in_C01*in_C06*(1-$B$52)^F$3+F54)</f>
        <v>243.2955625</v>
      </c>
      <c r="G55" s="51" t="n">
        <f aca="false">IF(G$3=0,0,in_C01*in_C06*(1-$B$52)^G$3+G54)</f>
        <v>240.01107240625</v>
      </c>
      <c r="H55" s="51" t="n">
        <f aca="false">IF(H$3=0,0,in_C01*in_C06*(1-$B$52)^H$3+H54)</f>
        <v>236.770922928766</v>
      </c>
      <c r="I55" s="51" t="n">
        <f aca="false">IF(I$3=0,0,in_C01*in_C06*(1-$B$52)^I$3+I54)</f>
        <v>233.574515469227</v>
      </c>
      <c r="J55" s="51" t="n">
        <f aca="false">IF(J$3=0,0,in_C01*in_C06*(1-$B$52)^J$3+J54)</f>
        <v>230.421259510393</v>
      </c>
      <c r="K55" s="51" t="n">
        <f aca="false">IF(K$3=0,0,in_C01*in_C06*(1-$B$52)^K$3+K54)</f>
        <v>227.310572507003</v>
      </c>
      <c r="L55" s="51" t="n">
        <f aca="false">IF(L$3=0,0,in_C01*in_C06*(1-$B$52)^L$3+L54)</f>
        <v>224.241879778158</v>
      </c>
      <c r="M55" s="51" t="n">
        <f aca="false">IF(M$3=0,0,in_C01*in_C06*(1-$B$52)^M$3+M54)</f>
        <v>221.214614401153</v>
      </c>
      <c r="N55" s="51" t="n">
        <f aca="false">IF(N$3=0,0,in_C01*in_C06*(1-$B$52)^N$3+N54)</f>
        <v>218.228217106737</v>
      </c>
      <c r="O55" s="51" t="n">
        <f aca="false">IF(O$3=0,0,in_C01*in_C06*(1-$B$52)^O$3+O54)</f>
        <v>215.282136175796</v>
      </c>
      <c r="P55" s="51" t="n">
        <f aca="false">IF(P$3=0,0,in_C01*in_C06*(1-$B$52)^P$3+P54)</f>
        <v>212.375827337423</v>
      </c>
      <c r="Q55" s="51" t="n">
        <f aca="false">IF(Q$3=0,0,in_C01*in_C06*(1-$B$52)^Q$3+Q54)</f>
        <v>209.508753668368</v>
      </c>
      <c r="R55" s="51" t="n">
        <f aca="false">IF(R$3=0,0,in_C01*in_C06*(1-$B$52)^R$3+R54)</f>
        <v>206.680385493845</v>
      </c>
      <c r="S55" s="51" t="n">
        <f aca="false">IF(S$3=0,0,in_C01*in_C06*(1-$B$52)^S$3+S54)</f>
        <v>203.890200289678</v>
      </c>
      <c r="T55" s="51" t="n">
        <f aca="false">IF(T$3=0,0,in_C01*in_C06*(1-$B$52)^T$3+T54)</f>
        <v>201.137682585767</v>
      </c>
      <c r="U55" s="51" t="n">
        <f aca="false">IF(U$3=0,0,in_C01*in_C06*(1-$B$52)^U$3+U54)</f>
        <v>198.42232387086</v>
      </c>
      <c r="V55" s="51" t="n">
        <f aca="false">IF(V$3=0,0,in_C01*in_C06*(1-$B$52)^V$3+V54)</f>
        <v>195.743622498603</v>
      </c>
      <c r="W55" s="51" t="n">
        <f aca="false">IF(W$3=0,0,in_C01*in_C06*(1-$B$52)^W$3+W54)</f>
        <v>193.101083594872</v>
      </c>
      <c r="X55" s="51" t="n">
        <f aca="false">IF(X$3=0,0,in_C01*in_C06*(1-$B$52)^X$3+X54)</f>
        <v>190.494218966341</v>
      </c>
      <c r="Y55" s="51" t="n">
        <f aca="false">IF(Y$3=0,0,in_C01*in_C06*(1-$B$52)^Y$3+Y54)</f>
        <v>187.922547010295</v>
      </c>
      <c r="Z55" s="51" t="n">
        <f aca="false">IF(Z$3=0,0,in_C01*in_C06*(1-$B$52)^Z$3+Z54)</f>
        <v>185.385592625657</v>
      </c>
      <c r="AA55" s="51" t="n">
        <f aca="false">IF(AA$3=0,0,in_C01*in_C06*(1-$B$52)^AA$3+AA54)</f>
        <v>182.88288712521</v>
      </c>
      <c r="AB55" s="51" t="n">
        <f aca="false">IF(AB$3=0,0,in_C01*in_C06*(1-$B$52)^AB$3+AB54)</f>
        <v>180.41396814902</v>
      </c>
      <c r="AC55" s="51" t="n">
        <f aca="false">IF(AC$3=0,0,in_C01*in_C06*(1-$B$52)^AC$3+AC54)</f>
        <v>177.978379579008</v>
      </c>
      <c r="AD55" s="51" t="n">
        <f aca="false">IF(AD$3=0,0,in_C01*in_C06*(1-$B$52)^AD$3+AD54)</f>
        <v>175.575671454691</v>
      </c>
      <c r="AE55" s="51" t="n">
        <f aca="false">IF(AE$3=0,0,in_C01*in_C06*(1-$B$52)^AE$3+AE54)</f>
        <v>173.205399890053</v>
      </c>
      <c r="AF55" s="51" t="n">
        <f aca="false">IF(AF$3=0,0,in_C01*in_C06*(1-$B$52)^AF$3+AF54)</f>
        <v>170.867126991537</v>
      </c>
      <c r="AG55" s="51" t="n">
        <f aca="false">IF(AG$3=0,0,in_C01*in_C06*(1-$B$52)^AG$3+AG54)</f>
        <v>168.560420777152</v>
      </c>
      <c r="AH55" s="51" t="n">
        <f aca="false">IF(AH$3=0,0,in_C01*in_C06*(1-$B$52)^AH$3+AH54)</f>
        <v>166.28485509666</v>
      </c>
    </row>
    <row r="56" customFormat="false" ht="15" hidden="false" customHeight="true" outlineLevel="0" collapsed="false">
      <c r="A56" s="33" t="s">
        <v>1387</v>
      </c>
      <c r="D56" s="52" t="n">
        <f aca="false">IF(D$3=0,0,(MAX(0,in_C01-D55)+in_H01*in_H02*MIN(in_C01,D55)*(1-$B$53))*c_VST)</f>
        <v>0</v>
      </c>
      <c r="E56" s="52" t="n">
        <f aca="false">IF(E$3=0,0,(MAX(0,in_C01-E55)+in_H01*in_H02*MIN(in_C01,E55)*(1-$B$53))*c_VST)</f>
        <v>30663.639847691</v>
      </c>
      <c r="F56" s="52" t="n">
        <f aca="false">IF(F$3=0,0,(MAX(0,in_C01-F55)+in_H01*in_H02*MIN(in_C01,F55)*(1-$B$53))*c_VST)</f>
        <v>30663.639847691</v>
      </c>
      <c r="G56" s="52" t="n">
        <f aca="false">IF(G$3=0,0,(MAX(0,in_C01-G55)+in_H01*in_H02*MIN(in_C01,G55)*(1-$B$53))*c_VST)</f>
        <v>30663.639847691</v>
      </c>
      <c r="H56" s="52" t="n">
        <f aca="false">IF(H$3=0,0,(MAX(0,in_C01-H55)+in_H01*in_H02*MIN(in_C01,H55)*(1-$B$53))*c_VST)</f>
        <v>30663.639847691</v>
      </c>
      <c r="I56" s="52" t="n">
        <f aca="false">IF(I$3=0,0,(MAX(0,in_C01-I55)+in_H01*in_H02*MIN(in_C01,I55)*(1-$B$53))*c_VST)</f>
        <v>30663.639847691</v>
      </c>
      <c r="J56" s="52" t="n">
        <f aca="false">IF(J$3=0,0,(MAX(0,in_C01-J55)+in_H01*in_H02*MIN(in_C01,J55)*(1-$B$53))*c_VST)</f>
        <v>30663.639847691</v>
      </c>
      <c r="K56" s="52" t="n">
        <f aca="false">IF(K$3=0,0,(MAX(0,in_C01-K55)+in_H01*in_H02*MIN(in_C01,K55)*(1-$B$53))*c_VST)</f>
        <v>30663.639847691</v>
      </c>
      <c r="L56" s="52" t="n">
        <f aca="false">IF(L$3=0,0,(MAX(0,in_C01-L55)+in_H01*in_H02*MIN(in_C01,L55)*(1-$B$53))*c_VST)</f>
        <v>30663.639847691</v>
      </c>
      <c r="M56" s="52" t="n">
        <f aca="false">IF(M$3=0,0,(MAX(0,in_C01-M55)+in_H01*in_H02*MIN(in_C01,M55)*(1-$B$53))*c_VST)</f>
        <v>30663.639847691</v>
      </c>
      <c r="N56" s="52" t="n">
        <f aca="false">IF(N$3=0,0,(MAX(0,in_C01-N55)+in_H01*in_H02*MIN(in_C01,N55)*(1-$B$53))*c_VST)</f>
        <v>30663.639847691</v>
      </c>
      <c r="O56" s="52" t="n">
        <f aca="false">IF(O$3=0,0,(MAX(0,in_C01-O55)+in_H01*in_H02*MIN(in_C01,O55)*(1-$B$53))*c_VST)</f>
        <v>30663.639847691</v>
      </c>
      <c r="P56" s="52" t="n">
        <f aca="false">IF(P$3=0,0,(MAX(0,in_C01-P55)+in_H01*in_H02*MIN(in_C01,P55)*(1-$B$53))*c_VST)</f>
        <v>30663.639847691</v>
      </c>
      <c r="Q56" s="52" t="n">
        <f aca="false">IF(Q$3=0,0,(MAX(0,in_C01-Q55)+in_H01*in_H02*MIN(in_C01,Q55)*(1-$B$53))*c_VST)</f>
        <v>30663.639847691</v>
      </c>
      <c r="R56" s="52" t="n">
        <f aca="false">IF(R$3=0,0,(MAX(0,in_C01-R55)+in_H01*in_H02*MIN(in_C01,R55)*(1-$B$53))*c_VST)</f>
        <v>30663.639847691</v>
      </c>
      <c r="S56" s="52" t="n">
        <f aca="false">IF(S$3=0,0,(MAX(0,in_C01-S55)+in_H01*in_H02*MIN(in_C01,S55)*(1-$B$53))*c_VST)</f>
        <v>30663.639847691</v>
      </c>
      <c r="T56" s="52" t="n">
        <f aca="false">IF(T$3=0,0,(MAX(0,in_C01-T55)+in_H01*in_H02*MIN(in_C01,T55)*(1-$B$53))*c_VST)</f>
        <v>30663.639847691</v>
      </c>
      <c r="U56" s="52" t="n">
        <f aca="false">IF(U$3=0,0,(MAX(0,in_C01-U55)+in_H01*in_H02*MIN(in_C01,U55)*(1-$B$53))*c_VST)</f>
        <v>33635.6946426148</v>
      </c>
      <c r="V56" s="52" t="n">
        <f aca="false">IF(V$3=0,0,(MAX(0,in_C01-V55)+in_H01*in_H02*MIN(in_C01,V55)*(1-$B$53))*c_VST)</f>
        <v>38681.8806820283</v>
      </c>
      <c r="W56" s="52" t="n">
        <f aca="false">IF(W$3=0,0,(MAX(0,in_C01-W55)+in_H01*in_H02*MIN(in_C01,W55)*(1-$B$53))*c_VST)</f>
        <v>43659.9432099096</v>
      </c>
      <c r="X56" s="52" t="n">
        <f aca="false">IF(X$3=0,0,(MAX(0,in_C01-X55)+in_H01*in_H02*MIN(in_C01,X55)*(1-$B$53))*c_VST)</f>
        <v>48570.8018936646</v>
      </c>
      <c r="Y56" s="52" t="n">
        <f aca="false">IF(Y$3=0,0,(MAX(0,in_C01-Y55)+in_H01*in_H02*MIN(in_C01,Y55)*(1-$B$53))*c_VST)</f>
        <v>53415.3639851888</v>
      </c>
      <c r="Z56" s="52" t="n">
        <f aca="false">IF(Z$3=0,0,(MAX(0,in_C01-Z55)+in_H01*in_H02*MIN(in_C01,Z55)*(1-$B$53))*c_VST)</f>
        <v>58194.5244884775</v>
      </c>
      <c r="AA56" s="52" t="n">
        <f aca="false">IF(AA$3=0,0,(MAX(0,in_C01-AA55)+in_H01*in_H02*MIN(in_C01,AA55)*(1-$B$53))*c_VST)</f>
        <v>62909.1663249717</v>
      </c>
      <c r="AB56" s="52" t="n">
        <f aca="false">IF(AB$3=0,0,(MAX(0,in_C01-AB55)+in_H01*in_H02*MIN(in_C01,AB55)*(1-$B$53))*c_VST)</f>
        <v>67560.1604966733</v>
      </c>
      <c r="AC56" s="52" t="n">
        <f aca="false">IF(AC$3=0,0,(MAX(0,in_C01-AC55)+in_H01*in_H02*MIN(in_C01,AC55)*(1-$B$53))*c_VST)</f>
        <v>72148.366247057</v>
      </c>
      <c r="AD56" s="52" t="n">
        <f aca="false">IF(AD$3=0,0,(MAX(0,in_C01-AD55)+in_H01*in_H02*MIN(in_C01,AD55)*(1-$B$53))*c_VST)</f>
        <v>76674.6312198104</v>
      </c>
      <c r="AE56" s="52" t="n">
        <f aca="false">IF(AE$3=0,0,(MAX(0,in_C01-AE55)+in_H01*in_H02*MIN(in_C01,AE55)*(1-$B$53))*c_VST)</f>
        <v>81139.7916154317</v>
      </c>
      <c r="AF56" s="52" t="n">
        <f aca="false">IF(AF$3=0,0,(MAX(0,in_C01-AF55)+in_H01*in_H02*MIN(in_C01,AF55)*(1-$B$53))*c_VST)</f>
        <v>85544.6723457121</v>
      </c>
      <c r="AG56" s="52" t="n">
        <f aca="false">IF(AG$3=0,0,(MAX(0,in_C01-AG55)+in_H01*in_H02*MIN(in_C01,AG55)*(1-$B$53))*c_VST)</f>
        <v>89890.0871861337</v>
      </c>
      <c r="AH56" s="52" t="n">
        <f aca="false">IF(AH$3=0,0,(MAX(0,in_C01-AH55)+in_H01*in_H02*MIN(in_C01,AH55)*(1-$B$53))*c_VST)</f>
        <v>94176.8389262097</v>
      </c>
    </row>
    <row r="57" customFormat="false" ht="15" hidden="false" customHeight="true" outlineLevel="0" collapsed="false">
      <c r="A57" s="33" t="s">
        <v>1392</v>
      </c>
      <c r="D57" s="55" t="n">
        <f aca="false">D7-D56</f>
        <v>0</v>
      </c>
      <c r="E57" s="55" t="n">
        <f aca="false">E7-E56</f>
        <v>6004.81293290058</v>
      </c>
      <c r="F57" s="55" t="n">
        <f aca="false">F7-F56</f>
        <v>6004.81293290058</v>
      </c>
      <c r="G57" s="55" t="n">
        <f aca="false">G7-G56</f>
        <v>6004.81293290058</v>
      </c>
      <c r="H57" s="55" t="n">
        <f aca="false">H7-H56</f>
        <v>6004.81293290058</v>
      </c>
      <c r="I57" s="55" t="n">
        <f aca="false">I7-I56</f>
        <v>6004.81293290058</v>
      </c>
      <c r="J57" s="55" t="n">
        <f aca="false">J7-J56</f>
        <v>6004.81293290058</v>
      </c>
      <c r="K57" s="55" t="n">
        <f aca="false">K7-K56</f>
        <v>6004.81293290058</v>
      </c>
      <c r="L57" s="55" t="n">
        <f aca="false">L7-L56</f>
        <v>6004.81293290058</v>
      </c>
      <c r="M57" s="55" t="n">
        <f aca="false">M7-M56</f>
        <v>6004.81293290058</v>
      </c>
      <c r="N57" s="55" t="n">
        <f aca="false">N7-N56</f>
        <v>6004.81293290058</v>
      </c>
      <c r="O57" s="55" t="n">
        <f aca="false">O7-O56</f>
        <v>6004.81293290058</v>
      </c>
      <c r="P57" s="55" t="n">
        <f aca="false">P7-P56</f>
        <v>6004.81293290058</v>
      </c>
      <c r="Q57" s="55" t="n">
        <f aca="false">Q7-Q56</f>
        <v>6004.81293290058</v>
      </c>
      <c r="R57" s="55" t="n">
        <f aca="false">R7-R56</f>
        <v>6004.81293290058</v>
      </c>
      <c r="S57" s="55" t="n">
        <f aca="false">S7-S56</f>
        <v>7322.74291495481</v>
      </c>
      <c r="T57" s="55" t="n">
        <f aca="false">T7-T56</f>
        <v>12864.3559702804</v>
      </c>
      <c r="U57" s="55" t="n">
        <f aca="false">U7-U56</f>
        <v>15350.7900348522</v>
      </c>
      <c r="V57" s="55" t="n">
        <f aca="false">V7-V56</f>
        <v>15681.215522042</v>
      </c>
      <c r="W57" s="55" t="n">
        <f aca="false">W7-W56</f>
        <v>15999.1153478649</v>
      </c>
      <c r="X57" s="55" t="n">
        <f aca="false">X7-X56</f>
        <v>16304.7795825087</v>
      </c>
      <c r="Y57" s="55" t="n">
        <f aca="false">Y7-Y56</f>
        <v>16598.4925656071</v>
      </c>
      <c r="Z57" s="55" t="n">
        <f aca="false">Z7-Z56</f>
        <v>16880.5330108218</v>
      </c>
      <c r="AA57" s="55" t="n">
        <f aca="false">AA7-AA56</f>
        <v>17151.1741086033</v>
      </c>
      <c r="AB57" s="55" t="n">
        <f aca="false">AB7-AB56</f>
        <v>17410.6836271633</v>
      </c>
      <c r="AC57" s="55" t="n">
        <f aca="false">AC7-AC56</f>
        <v>17659.3240116874</v>
      </c>
      <c r="AD57" s="55" t="n">
        <f aca="false">AD7-AD56</f>
        <v>17897.352481818</v>
      </c>
      <c r="AE57" s="55" t="n">
        <f aca="false">AE7-AE56</f>
        <v>18125.0211274375</v>
      </c>
      <c r="AF57" s="55" t="n">
        <f aca="false">AF7-AF56</f>
        <v>18342.5770027794</v>
      </c>
      <c r="AG57" s="55" t="n">
        <f aca="false">AG7-AG56</f>
        <v>18550.2622188957</v>
      </c>
      <c r="AH57" s="55" t="n">
        <f aca="false">AH7-AH56</f>
        <v>18748.3140345096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0"/>
    <col collapsed="false" customWidth="true" hidden="false" outlineLevel="0" max="3" min="3" style="1" width="15"/>
    <col collapsed="false" customWidth="true" hidden="false" outlineLevel="0" max="34" min="4" style="1" width="11"/>
  </cols>
  <sheetData>
    <row r="1" customFormat="false" ht="17.25" hidden="false" customHeight="true" outlineLevel="0" collapsed="false">
      <c r="A1" s="5" t="s">
        <v>1397</v>
      </c>
    </row>
    <row r="2" customFormat="false" ht="15" hidden="false" customHeight="true" outlineLevel="0" collapsed="false">
      <c r="A2" s="6" t="s">
        <v>1398</v>
      </c>
    </row>
    <row r="3" customFormat="false" ht="15" hidden="false" customHeight="true" outlineLevel="0" collapsed="false">
      <c r="A3" s="3" t="s">
        <v>1384</v>
      </c>
      <c r="C3" s="3" t="s">
        <v>1399</v>
      </c>
      <c r="D3" s="3" t="n">
        <v>0</v>
      </c>
      <c r="E3" s="3" t="n">
        <v>1</v>
      </c>
      <c r="F3" s="3" t="n">
        <v>2</v>
      </c>
      <c r="G3" s="3" t="n">
        <v>3</v>
      </c>
      <c r="H3" s="3" t="n">
        <v>4</v>
      </c>
      <c r="I3" s="3" t="n">
        <v>5</v>
      </c>
      <c r="J3" s="3" t="n">
        <v>6</v>
      </c>
      <c r="K3" s="3" t="n">
        <v>7</v>
      </c>
      <c r="L3" s="3" t="n">
        <v>8</v>
      </c>
      <c r="M3" s="3" t="n">
        <v>9</v>
      </c>
      <c r="N3" s="3" t="n">
        <v>10</v>
      </c>
      <c r="O3" s="3" t="n">
        <v>11</v>
      </c>
      <c r="P3" s="3" t="n">
        <v>12</v>
      </c>
      <c r="Q3" s="3" t="n">
        <v>13</v>
      </c>
      <c r="R3" s="3" t="n">
        <v>14</v>
      </c>
      <c r="S3" s="3" t="n">
        <v>15</v>
      </c>
      <c r="T3" s="3" t="n">
        <v>16</v>
      </c>
      <c r="U3" s="3" t="n">
        <v>17</v>
      </c>
      <c r="V3" s="3" t="n">
        <v>18</v>
      </c>
      <c r="W3" s="3" t="n">
        <v>19</v>
      </c>
      <c r="X3" s="3" t="n">
        <v>20</v>
      </c>
      <c r="Y3" s="3" t="n">
        <v>21</v>
      </c>
      <c r="Z3" s="3" t="n">
        <v>22</v>
      </c>
      <c r="AA3" s="3" t="n">
        <v>23</v>
      </c>
      <c r="AB3" s="3" t="n">
        <v>24</v>
      </c>
      <c r="AC3" s="3" t="n">
        <v>25</v>
      </c>
      <c r="AD3" s="3" t="n">
        <v>26</v>
      </c>
      <c r="AE3" s="3" t="n">
        <v>27</v>
      </c>
      <c r="AF3" s="3" t="n">
        <v>28</v>
      </c>
      <c r="AG3" s="3" t="n">
        <v>29</v>
      </c>
      <c r="AH3" s="3" t="n">
        <v>30</v>
      </c>
    </row>
    <row r="4" customFormat="false" ht="15" hidden="false" customHeight="true" outlineLevel="0" collapsed="false">
      <c r="A4" s="33" t="s">
        <v>1400</v>
      </c>
      <c r="D4" s="56" t="n">
        <f aca="false">IF(D$3&lt;=in_G04a,0,in_G05*in_G04b+(1-in_G05)*in_G04c)</f>
        <v>0</v>
      </c>
      <c r="E4" s="56" t="n">
        <f aca="false">IF(E$3&lt;=in_G04a,0,in_G05*in_G04b+(1-in_G05)*in_G04c)</f>
        <v>0</v>
      </c>
      <c r="F4" s="56" t="n">
        <f aca="false">IF(F$3&lt;=in_G04a,0,in_G05*in_G04b+(1-in_G05)*in_G04c)</f>
        <v>0</v>
      </c>
      <c r="G4" s="56" t="n">
        <f aca="false">IF(G$3&lt;=in_G04a,0,in_G05*in_G04b+(1-in_G05)*in_G04c)</f>
        <v>0</v>
      </c>
      <c r="H4" s="56" t="n">
        <f aca="false">IF(H$3&lt;=in_G04a,0,in_G05*in_G04b+(1-in_G05)*in_G04c)</f>
        <v>0</v>
      </c>
      <c r="I4" s="56" t="n">
        <f aca="false">IF(I$3&lt;=in_G04a,0,in_G05*in_G04b+(1-in_G05)*in_G04c)</f>
        <v>0</v>
      </c>
      <c r="J4" s="56" t="n">
        <f aca="false">IF(J$3&lt;=in_G04a,0,in_G05*in_G04b+(1-in_G05)*in_G04c)</f>
        <v>0</v>
      </c>
      <c r="K4" s="56" t="n">
        <f aca="false">IF(K$3&lt;=in_G04a,0,in_G05*in_G04b+(1-in_G05)*in_G04c)</f>
        <v>0</v>
      </c>
      <c r="L4" s="56" t="n">
        <f aca="false">IF(L$3&lt;=in_G04a,0,in_G05*in_G04b+(1-in_G05)*in_G04c)</f>
        <v>0</v>
      </c>
      <c r="M4" s="56" t="n">
        <f aca="false">IF(M$3&lt;=in_G04a,0,in_G05*in_G04b+(1-in_G05)*in_G04c)</f>
        <v>0</v>
      </c>
      <c r="N4" s="56" t="n">
        <f aca="false">IF(N$3&lt;=in_G04a,0,in_G05*in_G04b+(1-in_G05)*in_G04c)</f>
        <v>0</v>
      </c>
      <c r="O4" s="56" t="n">
        <f aca="false">IF(O$3&lt;=in_G04a,0,in_G05*in_G04b+(1-in_G05)*in_G04c)</f>
        <v>0.165</v>
      </c>
      <c r="P4" s="56" t="n">
        <f aca="false">IF(P$3&lt;=in_G04a,0,in_G05*in_G04b+(1-in_G05)*in_G04c)</f>
        <v>0.165</v>
      </c>
      <c r="Q4" s="56" t="n">
        <f aca="false">IF(Q$3&lt;=in_G04a,0,in_G05*in_G04b+(1-in_G05)*in_G04c)</f>
        <v>0.165</v>
      </c>
      <c r="R4" s="56" t="n">
        <f aca="false">IF(R$3&lt;=in_G04a,0,in_G05*in_G04b+(1-in_G05)*in_G04c)</f>
        <v>0.165</v>
      </c>
      <c r="S4" s="56" t="n">
        <f aca="false">IF(S$3&lt;=in_G04a,0,in_G05*in_G04b+(1-in_G05)*in_G04c)</f>
        <v>0.165</v>
      </c>
      <c r="T4" s="56" t="n">
        <f aca="false">IF(T$3&lt;=in_G04a,0,in_G05*in_G04b+(1-in_G05)*in_G04c)</f>
        <v>0.165</v>
      </c>
      <c r="U4" s="56" t="n">
        <f aca="false">IF(U$3&lt;=in_G04a,0,in_G05*in_G04b+(1-in_G05)*in_G04c)</f>
        <v>0.165</v>
      </c>
      <c r="V4" s="56" t="n">
        <f aca="false">IF(V$3&lt;=in_G04a,0,in_G05*in_G04b+(1-in_G05)*in_G04c)</f>
        <v>0.165</v>
      </c>
      <c r="W4" s="56" t="n">
        <f aca="false">IF(W$3&lt;=in_G04a,0,in_G05*in_G04b+(1-in_G05)*in_G04c)</f>
        <v>0.165</v>
      </c>
      <c r="X4" s="56" t="n">
        <f aca="false">IF(X$3&lt;=in_G04a,0,in_G05*in_G04b+(1-in_G05)*in_G04c)</f>
        <v>0.165</v>
      </c>
      <c r="Y4" s="56" t="n">
        <f aca="false">IF(Y$3&lt;=in_G04a,0,in_G05*in_G04b+(1-in_G05)*in_G04c)</f>
        <v>0.165</v>
      </c>
      <c r="Z4" s="56" t="n">
        <f aca="false">IF(Z$3&lt;=in_G04a,0,in_G05*in_G04b+(1-in_G05)*in_G04c)</f>
        <v>0.165</v>
      </c>
      <c r="AA4" s="56" t="n">
        <f aca="false">IF(AA$3&lt;=in_G04a,0,in_G05*in_G04b+(1-in_G05)*in_G04c)</f>
        <v>0.165</v>
      </c>
      <c r="AB4" s="56" t="n">
        <f aca="false">IF(AB$3&lt;=in_G04a,0,in_G05*in_G04b+(1-in_G05)*in_G04c)</f>
        <v>0.165</v>
      </c>
      <c r="AC4" s="56" t="n">
        <f aca="false">IF(AC$3&lt;=in_G04a,0,in_G05*in_G04b+(1-in_G05)*in_G04c)</f>
        <v>0.165</v>
      </c>
      <c r="AD4" s="56" t="n">
        <f aca="false">IF(AD$3&lt;=in_G04a,0,in_G05*in_G04b+(1-in_G05)*in_G04c)</f>
        <v>0.165</v>
      </c>
      <c r="AE4" s="56" t="n">
        <f aca="false">IF(AE$3&lt;=in_G04a,0,in_G05*in_G04b+(1-in_G05)*in_G04c)</f>
        <v>0.165</v>
      </c>
      <c r="AF4" s="56" t="n">
        <f aca="false">IF(AF$3&lt;=in_G04a,0,in_G05*in_G04b+(1-in_G05)*in_G04c)</f>
        <v>0.165</v>
      </c>
      <c r="AG4" s="56" t="n">
        <f aca="false">IF(AG$3&lt;=in_G04a,0,in_G05*in_G04b+(1-in_G05)*in_G04c)</f>
        <v>0.165</v>
      </c>
      <c r="AH4" s="56" t="n">
        <f aca="false">IF(AH$3&lt;=in_G04a,0,in_G05*in_G04b+(1-in_G05)*in_G04c)</f>
        <v>0.165</v>
      </c>
    </row>
    <row r="5" customFormat="false" ht="15" hidden="false" customHeight="true" outlineLevel="0" collapsed="false">
      <c r="A5" s="33" t="s">
        <v>1401</v>
      </c>
      <c r="D5" s="57" t="n">
        <f aca="false">1/(1+in_G01)^D$3</f>
        <v>1</v>
      </c>
      <c r="E5" s="57" t="n">
        <f aca="false">1/(1+in_G01)^E$3</f>
        <v>0.884955752212389</v>
      </c>
      <c r="F5" s="57" t="n">
        <f aca="false">1/(1+in_G01)^F$3</f>
        <v>0.783146683373796</v>
      </c>
      <c r="G5" s="57" t="n">
        <f aca="false">1/(1+in_G01)^G$3</f>
        <v>0.693050162277696</v>
      </c>
      <c r="H5" s="57" t="n">
        <f aca="false">1/(1+in_G01)^H$3</f>
        <v>0.613318727679377</v>
      </c>
      <c r="I5" s="57" t="n">
        <f aca="false">1/(1+in_G01)^I$3</f>
        <v>0.542759935999449</v>
      </c>
      <c r="J5" s="57" t="n">
        <f aca="false">1/(1+in_G01)^J$3</f>
        <v>0.48031852743314</v>
      </c>
      <c r="K5" s="57" t="n">
        <f aca="false">1/(1+in_G01)^K$3</f>
        <v>0.425060643746142</v>
      </c>
      <c r="L5" s="57" t="n">
        <f aca="false">1/(1+in_G01)^L$3</f>
        <v>0.37615986172225</v>
      </c>
      <c r="M5" s="57" t="n">
        <f aca="false">1/(1+in_G01)^M$3</f>
        <v>0.332884833382522</v>
      </c>
      <c r="N5" s="57" t="n">
        <f aca="false">1/(1+in_G01)^N$3</f>
        <v>0.294588348126126</v>
      </c>
      <c r="O5" s="57" t="n">
        <f aca="false">1/(1+in_G01)^O$3</f>
        <v>0.260697653208961</v>
      </c>
      <c r="P5" s="57" t="n">
        <f aca="false">1/(1+in_G01)^P$3</f>
        <v>0.23070588779554</v>
      </c>
      <c r="Q5" s="57" t="n">
        <f aca="false">1/(1+in_G01)^Q$3</f>
        <v>0.20416450247393</v>
      </c>
      <c r="R5" s="57" t="n">
        <f aca="false">1/(1+in_G01)^R$3</f>
        <v>0.180676550861885</v>
      </c>
      <c r="S5" s="57" t="n">
        <f aca="false">1/(1+in_G01)^S$3</f>
        <v>0.159890752975119</v>
      </c>
      <c r="T5" s="57" t="n">
        <f aca="false">1/(1+in_G01)^T$3</f>
        <v>0.141496241570902</v>
      </c>
      <c r="U5" s="57" t="n">
        <f aca="false">1/(1+in_G01)^U$3</f>
        <v>0.125217912894603</v>
      </c>
      <c r="V5" s="57" t="n">
        <f aca="false">1/(1+in_G01)^V$3</f>
        <v>0.110812312296109</v>
      </c>
      <c r="W5" s="57" t="n">
        <f aca="false">1/(1+in_G01)^W$3</f>
        <v>0.0980639931823976</v>
      </c>
      <c r="X5" s="57" t="n">
        <f aca="false">1/(1+in_G01)^X$3</f>
        <v>0.0867822948516793</v>
      </c>
      <c r="Y5" s="57" t="n">
        <f aca="false">1/(1+in_G01)^Y$3</f>
        <v>0.0767984910191852</v>
      </c>
      <c r="Z5" s="57" t="n">
        <f aca="false">1/(1+in_G01)^Z$3</f>
        <v>0.0679632663886595</v>
      </c>
      <c r="AA5" s="57" t="n">
        <f aca="false">1/(1+in_G01)^AA$3</f>
        <v>0.0601444835297872</v>
      </c>
      <c r="AB5" s="57" t="n">
        <f aca="false">1/(1+in_G01)^AB$3</f>
        <v>0.0532252066635285</v>
      </c>
      <c r="AC5" s="57" t="n">
        <f aca="false">1/(1+in_G01)^AC$3</f>
        <v>0.0471019527995827</v>
      </c>
      <c r="AD5" s="57" t="n">
        <f aca="false">1/(1+in_G01)^AD$3</f>
        <v>0.0416831440704272</v>
      </c>
      <c r="AE5" s="57" t="n">
        <f aca="false">1/(1+in_G01)^AE$3</f>
        <v>0.0368877381154223</v>
      </c>
      <c r="AF5" s="57" t="n">
        <f aca="false">1/(1+in_G01)^AF$3</f>
        <v>0.0326440160313472</v>
      </c>
      <c r="AG5" s="57" t="n">
        <f aca="false">1/(1+in_G01)^AG$3</f>
        <v>0.0288885097622541</v>
      </c>
      <c r="AH5" s="57" t="n">
        <f aca="false">1/(1+in_G01)^AH$3</f>
        <v>0.0255650528869506</v>
      </c>
    </row>
    <row r="7" customFormat="false" ht="15" hidden="false" customHeight="true" outlineLevel="0" collapsed="false">
      <c r="A7" s="53" t="s">
        <v>1402</v>
      </c>
      <c r="B7" s="58" t="s">
        <v>1403</v>
      </c>
      <c r="C7" s="59" t="n">
        <f aca="false">in_G02a</f>
        <v>20</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row>
    <row r="8" customFormat="false" ht="15" hidden="false" customHeight="true" outlineLevel="0" collapsed="false">
      <c r="A8" s="33" t="s">
        <v>1404</v>
      </c>
      <c r="D8" s="61" t="n">
        <f aca="false">IF(D$3&lt;=in_G02a,1,0)</f>
        <v>1</v>
      </c>
      <c r="E8" s="61" t="n">
        <f aca="false">IF(E$3&lt;=in_G02a,1,0)</f>
        <v>1</v>
      </c>
      <c r="F8" s="61" t="n">
        <f aca="false">IF(F$3&lt;=in_G02a,1,0)</f>
        <v>1</v>
      </c>
      <c r="G8" s="61" t="n">
        <f aca="false">IF(G$3&lt;=in_G02a,1,0)</f>
        <v>1</v>
      </c>
      <c r="H8" s="61" t="n">
        <f aca="false">IF(H$3&lt;=in_G02a,1,0)</f>
        <v>1</v>
      </c>
      <c r="I8" s="61" t="n">
        <f aca="false">IF(I$3&lt;=in_G02a,1,0)</f>
        <v>1</v>
      </c>
      <c r="J8" s="61" t="n">
        <f aca="false">IF(J$3&lt;=in_G02a,1,0)</f>
        <v>1</v>
      </c>
      <c r="K8" s="61" t="n">
        <f aca="false">IF(K$3&lt;=in_G02a,1,0)</f>
        <v>1</v>
      </c>
      <c r="L8" s="61" t="n">
        <f aca="false">IF(L$3&lt;=in_G02a,1,0)</f>
        <v>1</v>
      </c>
      <c r="M8" s="61" t="n">
        <f aca="false">IF(M$3&lt;=in_G02a,1,0)</f>
        <v>1</v>
      </c>
      <c r="N8" s="61" t="n">
        <f aca="false">IF(N$3&lt;=in_G02a,1,0)</f>
        <v>1</v>
      </c>
      <c r="O8" s="61" t="n">
        <f aca="false">IF(O$3&lt;=in_G02a,1,0)</f>
        <v>1</v>
      </c>
      <c r="P8" s="61" t="n">
        <f aca="false">IF(P$3&lt;=in_G02a,1,0)</f>
        <v>1</v>
      </c>
      <c r="Q8" s="61" t="n">
        <f aca="false">IF(Q$3&lt;=in_G02a,1,0)</f>
        <v>1</v>
      </c>
      <c r="R8" s="61" t="n">
        <f aca="false">IF(R$3&lt;=in_G02a,1,0)</f>
        <v>1</v>
      </c>
      <c r="S8" s="61" t="n">
        <f aca="false">IF(S$3&lt;=in_G02a,1,0)</f>
        <v>1</v>
      </c>
      <c r="T8" s="61" t="n">
        <f aca="false">IF(T$3&lt;=in_G02a,1,0)</f>
        <v>1</v>
      </c>
      <c r="U8" s="61" t="n">
        <f aca="false">IF(U$3&lt;=in_G02a,1,0)</f>
        <v>1</v>
      </c>
      <c r="V8" s="61" t="n">
        <f aca="false">IF(V$3&lt;=in_G02a,1,0)</f>
        <v>1</v>
      </c>
      <c r="W8" s="61" t="n">
        <f aca="false">IF(W$3&lt;=in_G02a,1,0)</f>
        <v>1</v>
      </c>
      <c r="X8" s="61" t="n">
        <f aca="false">IF(X$3&lt;=in_G02a,1,0)</f>
        <v>1</v>
      </c>
      <c r="Y8" s="61" t="n">
        <f aca="false">IF(Y$3&lt;=in_G02a,1,0)</f>
        <v>0</v>
      </c>
      <c r="Z8" s="61" t="n">
        <f aca="false">IF(Z$3&lt;=in_G02a,1,0)</f>
        <v>0</v>
      </c>
      <c r="AA8" s="61" t="n">
        <f aca="false">IF(AA$3&lt;=in_G02a,1,0)</f>
        <v>0</v>
      </c>
      <c r="AB8" s="61" t="n">
        <f aca="false">IF(AB$3&lt;=in_G02a,1,0)</f>
        <v>0</v>
      </c>
      <c r="AC8" s="61" t="n">
        <f aca="false">IF(AC$3&lt;=in_G02a,1,0)</f>
        <v>0</v>
      </c>
      <c r="AD8" s="61" t="n">
        <f aca="false">IF(AD$3&lt;=in_G02a,1,0)</f>
        <v>0</v>
      </c>
      <c r="AE8" s="61" t="n">
        <f aca="false">IF(AE$3&lt;=in_G02a,1,0)</f>
        <v>0</v>
      </c>
      <c r="AF8" s="61" t="n">
        <f aca="false">IF(AF$3&lt;=in_G02a,1,0)</f>
        <v>0</v>
      </c>
      <c r="AG8" s="61" t="n">
        <f aca="false">IF(AG$3&lt;=in_G02a,1,0)</f>
        <v>0</v>
      </c>
      <c r="AH8" s="61" t="n">
        <f aca="false">IF(AH$3&lt;=in_G02a,1,0)</f>
        <v>0</v>
      </c>
    </row>
    <row r="9" customFormat="false" ht="15" hidden="false" customHeight="true" outlineLevel="0" collapsed="false">
      <c r="A9" s="33" t="s">
        <v>1405</v>
      </c>
      <c r="C9" s="46" t="n">
        <f aca="false">SUMPRODUCT(D9:AH9,D$5:AH$5)</f>
        <v>125961.401252027</v>
      </c>
      <c r="D9" s="52" t="n">
        <f aca="false">IF(D$3=0,c_irr_cap,0)*(1-in_P02)+IF(AND(D$3&gt;0,D$3&lt;in_G02a,MOD(D$3,in_I10)=0),in_I03*in_I09*(1-in_P02),0)</f>
        <v>120577.777777778</v>
      </c>
      <c r="E9" s="52" t="n">
        <f aca="false">IF(E$3=0,c_irr_cap,0)*(1-in_P02)+IF(AND(E$3&gt;0,E$3&lt;in_G02a,MOD(E$3,in_I10)=0),in_I03*in_I09*(1-in_P02),0)</f>
        <v>0</v>
      </c>
      <c r="F9" s="52" t="n">
        <f aca="false">IF(F$3=0,c_irr_cap,0)*(1-in_P02)+IF(AND(F$3&gt;0,F$3&lt;in_G02a,MOD(F$3,in_I10)=0),in_I03*in_I09*(1-in_P02),0)</f>
        <v>0</v>
      </c>
      <c r="G9" s="52" t="n">
        <f aca="false">IF(G$3=0,c_irr_cap,0)*(1-in_P02)+IF(AND(G$3&gt;0,G$3&lt;in_G02a,MOD(G$3,in_I10)=0),in_I03*in_I09*(1-in_P02),0)</f>
        <v>0</v>
      </c>
      <c r="H9" s="52" t="n">
        <f aca="false">IF(H$3=0,c_irr_cap,0)*(1-in_P02)+IF(AND(H$3&gt;0,H$3&lt;in_G02a,MOD(H$3,in_I10)=0),in_I03*in_I09*(1-in_P02),0)</f>
        <v>0</v>
      </c>
      <c r="I9" s="52" t="n">
        <f aca="false">IF(I$3=0,c_irr_cap,0)*(1-in_P02)+IF(AND(I$3&gt;0,I$3&lt;in_G02a,MOD(I$3,in_I10)=0),in_I03*in_I09*(1-in_P02),0)</f>
        <v>0</v>
      </c>
      <c r="J9" s="52" t="n">
        <f aca="false">IF(J$3=0,c_irr_cap,0)*(1-in_P02)+IF(AND(J$3&gt;0,J$3&lt;in_G02a,MOD(J$3,in_I10)=0),in_I03*in_I09*(1-in_P02),0)</f>
        <v>0</v>
      </c>
      <c r="K9" s="52" t="n">
        <f aca="false">IF(K$3=0,c_irr_cap,0)*(1-in_P02)+IF(AND(K$3&gt;0,K$3&lt;in_G02a,MOD(K$3,in_I10)=0),in_I03*in_I09*(1-in_P02),0)</f>
        <v>0</v>
      </c>
      <c r="L9" s="52" t="n">
        <f aca="false">IF(L$3=0,c_irr_cap,0)*(1-in_P02)+IF(AND(L$3&gt;0,L$3&lt;in_G02a,MOD(L$3,in_I10)=0),in_I03*in_I09*(1-in_P02),0)</f>
        <v>10400</v>
      </c>
      <c r="M9" s="52" t="n">
        <f aca="false">IF(M$3=0,c_irr_cap,0)*(1-in_P02)+IF(AND(M$3&gt;0,M$3&lt;in_G02a,MOD(M$3,in_I10)=0),in_I03*in_I09*(1-in_P02),0)</f>
        <v>0</v>
      </c>
      <c r="N9" s="52" t="n">
        <f aca="false">IF(N$3=0,c_irr_cap,0)*(1-in_P02)+IF(AND(N$3&gt;0,N$3&lt;in_G02a,MOD(N$3,in_I10)=0),in_I03*in_I09*(1-in_P02),0)</f>
        <v>0</v>
      </c>
      <c r="O9" s="52" t="n">
        <f aca="false">IF(O$3=0,c_irr_cap,0)*(1-in_P02)+IF(AND(O$3&gt;0,O$3&lt;in_G02a,MOD(O$3,in_I10)=0),in_I03*in_I09*(1-in_P02),0)</f>
        <v>0</v>
      </c>
      <c r="P9" s="52" t="n">
        <f aca="false">IF(P$3=0,c_irr_cap,0)*(1-in_P02)+IF(AND(P$3&gt;0,P$3&lt;in_G02a,MOD(P$3,in_I10)=0),in_I03*in_I09*(1-in_P02),0)</f>
        <v>0</v>
      </c>
      <c r="Q9" s="52" t="n">
        <f aca="false">IF(Q$3=0,c_irr_cap,0)*(1-in_P02)+IF(AND(Q$3&gt;0,Q$3&lt;in_G02a,MOD(Q$3,in_I10)=0),in_I03*in_I09*(1-in_P02),0)</f>
        <v>0</v>
      </c>
      <c r="R9" s="52" t="n">
        <f aca="false">IF(R$3=0,c_irr_cap,0)*(1-in_P02)+IF(AND(R$3&gt;0,R$3&lt;in_G02a,MOD(R$3,in_I10)=0),in_I03*in_I09*(1-in_P02),0)</f>
        <v>0</v>
      </c>
      <c r="S9" s="52" t="n">
        <f aca="false">IF(S$3=0,c_irr_cap,0)*(1-in_P02)+IF(AND(S$3&gt;0,S$3&lt;in_G02a,MOD(S$3,in_I10)=0),in_I03*in_I09*(1-in_P02),0)</f>
        <v>0</v>
      </c>
      <c r="T9" s="52" t="n">
        <f aca="false">IF(T$3=0,c_irr_cap,0)*(1-in_P02)+IF(AND(T$3&gt;0,T$3&lt;in_G02a,MOD(T$3,in_I10)=0),in_I03*in_I09*(1-in_P02),0)</f>
        <v>10400</v>
      </c>
      <c r="U9" s="52" t="n">
        <f aca="false">IF(U$3=0,c_irr_cap,0)*(1-in_P02)+IF(AND(U$3&gt;0,U$3&lt;in_G02a,MOD(U$3,in_I10)=0),in_I03*in_I09*(1-in_P02),0)</f>
        <v>0</v>
      </c>
      <c r="V9" s="52" t="n">
        <f aca="false">IF(V$3=0,c_irr_cap,0)*(1-in_P02)+IF(AND(V$3&gt;0,V$3&lt;in_G02a,MOD(V$3,in_I10)=0),in_I03*in_I09*(1-in_P02),0)</f>
        <v>0</v>
      </c>
      <c r="W9" s="52" t="n">
        <f aca="false">IF(W$3=0,c_irr_cap,0)*(1-in_P02)+IF(AND(W$3&gt;0,W$3&lt;in_G02a,MOD(W$3,in_I10)=0),in_I03*in_I09*(1-in_P02),0)</f>
        <v>0</v>
      </c>
      <c r="X9" s="52" t="n">
        <f aca="false">IF(X$3=0,c_irr_cap,0)*(1-in_P02)+IF(AND(X$3&gt;0,X$3&lt;in_G02a,MOD(X$3,in_I10)=0),in_I03*in_I09*(1-in_P02),0)</f>
        <v>0</v>
      </c>
      <c r="Y9" s="52" t="n">
        <f aca="false">IF(Y$3=0,c_irr_cap,0)*(1-in_P02)+IF(AND(Y$3&gt;0,Y$3&lt;in_G02a,MOD(Y$3,in_I10)=0),in_I03*in_I09*(1-in_P02),0)</f>
        <v>0</v>
      </c>
      <c r="Z9" s="52" t="n">
        <f aca="false">IF(Z$3=0,c_irr_cap,0)*(1-in_P02)+IF(AND(Z$3&gt;0,Z$3&lt;in_G02a,MOD(Z$3,in_I10)=0),in_I03*in_I09*(1-in_P02),0)</f>
        <v>0</v>
      </c>
      <c r="AA9" s="52" t="n">
        <f aca="false">IF(AA$3=0,c_irr_cap,0)*(1-in_P02)+IF(AND(AA$3&gt;0,AA$3&lt;in_G02a,MOD(AA$3,in_I10)=0),in_I03*in_I09*(1-in_P02),0)</f>
        <v>0</v>
      </c>
      <c r="AB9" s="52" t="n">
        <f aca="false">IF(AB$3=0,c_irr_cap,0)*(1-in_P02)+IF(AND(AB$3&gt;0,AB$3&lt;in_G02a,MOD(AB$3,in_I10)=0),in_I03*in_I09*(1-in_P02),0)</f>
        <v>0</v>
      </c>
      <c r="AC9" s="52" t="n">
        <f aca="false">IF(AC$3=0,c_irr_cap,0)*(1-in_P02)+IF(AND(AC$3&gt;0,AC$3&lt;in_G02a,MOD(AC$3,in_I10)=0),in_I03*in_I09*(1-in_P02),0)</f>
        <v>0</v>
      </c>
      <c r="AD9" s="52" t="n">
        <f aca="false">IF(AD$3=0,c_irr_cap,0)*(1-in_P02)+IF(AND(AD$3&gt;0,AD$3&lt;in_G02a,MOD(AD$3,in_I10)=0),in_I03*in_I09*(1-in_P02),0)</f>
        <v>0</v>
      </c>
      <c r="AE9" s="52" t="n">
        <f aca="false">IF(AE$3=0,c_irr_cap,0)*(1-in_P02)+IF(AND(AE$3&gt;0,AE$3&lt;in_G02a,MOD(AE$3,in_I10)=0),in_I03*in_I09*(1-in_P02),0)</f>
        <v>0</v>
      </c>
      <c r="AF9" s="52" t="n">
        <f aca="false">IF(AF$3=0,c_irr_cap,0)*(1-in_P02)+IF(AND(AF$3&gt;0,AF$3&lt;in_G02a,MOD(AF$3,in_I10)=0),in_I03*in_I09*(1-in_P02),0)</f>
        <v>0</v>
      </c>
      <c r="AG9" s="52" t="n">
        <f aca="false">IF(AG$3=0,c_irr_cap,0)*(1-in_P02)+IF(AND(AG$3&gt;0,AG$3&lt;in_G02a,MOD(AG$3,in_I10)=0),in_I03*in_I09*(1-in_P02),0)</f>
        <v>0</v>
      </c>
      <c r="AH9" s="52" t="n">
        <f aca="false">IF(AH$3=0,c_irr_cap,0)*(1-in_P02)+IF(AND(AH$3&gt;0,AH$3&lt;in_G02a,MOD(AH$3,in_I10)=0),in_I03*in_I09*(1-in_P02),0)</f>
        <v>0</v>
      </c>
    </row>
    <row r="10" customFormat="false" ht="15" hidden="false" customHeight="true" outlineLevel="0" collapsed="false">
      <c r="A10" s="33" t="s">
        <v>1406</v>
      </c>
      <c r="D10" s="52" t="n">
        <f aca="false">Supply!D15</f>
        <v>0</v>
      </c>
      <c r="E10" s="52" t="n">
        <f aca="false">Supply!E15</f>
        <v>916.71131951479</v>
      </c>
      <c r="F10" s="52" t="n">
        <f aca="false">Supply!F15</f>
        <v>916.71131951479</v>
      </c>
      <c r="G10" s="52" t="n">
        <f aca="false">Supply!G15</f>
        <v>916.71131951479</v>
      </c>
      <c r="H10" s="52" t="n">
        <f aca="false">Supply!H15</f>
        <v>916.71131951479</v>
      </c>
      <c r="I10" s="52" t="n">
        <f aca="false">Supply!I15</f>
        <v>916.71131951479</v>
      </c>
      <c r="J10" s="52" t="n">
        <f aca="false">Supply!J15</f>
        <v>916.71131951479</v>
      </c>
      <c r="K10" s="52" t="n">
        <f aca="false">Supply!K15</f>
        <v>916.71131951479</v>
      </c>
      <c r="L10" s="52" t="n">
        <f aca="false">Supply!L15</f>
        <v>916.71131951479</v>
      </c>
      <c r="M10" s="52" t="n">
        <f aca="false">Supply!M15</f>
        <v>916.71131951479</v>
      </c>
      <c r="N10" s="52" t="n">
        <f aca="false">Supply!N15</f>
        <v>916.71131951479</v>
      </c>
      <c r="O10" s="52" t="n">
        <f aca="false">Supply!O15</f>
        <v>916.71131951479</v>
      </c>
      <c r="P10" s="52" t="n">
        <f aca="false">Supply!P15</f>
        <v>916.71131951479</v>
      </c>
      <c r="Q10" s="52" t="n">
        <f aca="false">Supply!Q15</f>
        <v>916.71131951479</v>
      </c>
      <c r="R10" s="52" t="n">
        <f aca="false">Supply!R15</f>
        <v>916.71131951479</v>
      </c>
      <c r="S10" s="52" t="n">
        <f aca="false">Supply!S15</f>
        <v>913.45270142729</v>
      </c>
      <c r="T10" s="52" t="n">
        <f aca="false">Supply!T15</f>
        <v>899.750910905881</v>
      </c>
      <c r="U10" s="52" t="n">
        <f aca="false">Supply!U15</f>
        <v>886.254647242298</v>
      </c>
      <c r="V10" s="52" t="n">
        <f aca="false">Supply!V15</f>
        <v>872.960827533658</v>
      </c>
      <c r="W10" s="52" t="n">
        <f aca="false">Supply!W15</f>
        <v>859.866415120654</v>
      </c>
      <c r="X10" s="52" t="n">
        <f aca="false">Supply!X15</f>
        <v>846.968418893848</v>
      </c>
      <c r="Y10" s="52" t="n">
        <f aca="false">Supply!Y15</f>
        <v>834.263892610441</v>
      </c>
      <c r="Z10" s="52" t="n">
        <f aca="false">Supply!Z15</f>
        <v>821.749934221283</v>
      </c>
      <c r="AA10" s="52" t="n">
        <f aca="false">Supply!AA15</f>
        <v>809.423685207948</v>
      </c>
      <c r="AB10" s="52" t="n">
        <f aca="false">Supply!AB15</f>
        <v>797.282329929847</v>
      </c>
      <c r="AC10" s="52" t="n">
        <f aca="false">Supply!AC15</f>
        <v>785.323094980893</v>
      </c>
      <c r="AD10" s="52" t="n">
        <f aca="false">Supply!AD15</f>
        <v>773.543248556176</v>
      </c>
      <c r="AE10" s="52" t="n">
        <f aca="false">Supply!AE15</f>
        <v>761.940099827829</v>
      </c>
      <c r="AF10" s="52" t="n">
        <f aca="false">Supply!AF15</f>
        <v>750.510998330428</v>
      </c>
      <c r="AG10" s="52" t="n">
        <f aca="false">Supply!AG15</f>
        <v>739.253333355475</v>
      </c>
      <c r="AH10" s="52" t="n">
        <f aca="false">Supply!AH15</f>
        <v>728.164533355128</v>
      </c>
    </row>
    <row r="11" customFormat="false" ht="15" hidden="false" customHeight="true" outlineLevel="0" collapsed="false">
      <c r="A11" s="33" t="s">
        <v>1407</v>
      </c>
      <c r="D11" s="52" t="n">
        <f aca="false">0</f>
        <v>0</v>
      </c>
      <c r="E11" s="52" t="n">
        <f aca="false">0</f>
        <v>0</v>
      </c>
      <c r="F11" s="52" t="n">
        <f aca="false">0</f>
        <v>0</v>
      </c>
      <c r="G11" s="52" t="n">
        <f aca="false">0</f>
        <v>0</v>
      </c>
      <c r="H11" s="52" t="n">
        <f aca="false">0</f>
        <v>0</v>
      </c>
      <c r="I11" s="52" t="n">
        <f aca="false">0</f>
        <v>0</v>
      </c>
      <c r="J11" s="52" t="n">
        <f aca="false">0</f>
        <v>0</v>
      </c>
      <c r="K11" s="52" t="n">
        <f aca="false">0</f>
        <v>0</v>
      </c>
      <c r="L11" s="52" t="n">
        <f aca="false">0</f>
        <v>0</v>
      </c>
      <c r="M11" s="52" t="n">
        <f aca="false">0</f>
        <v>0</v>
      </c>
      <c r="N11" s="52" t="n">
        <f aca="false">0</f>
        <v>0</v>
      </c>
      <c r="O11" s="52" t="n">
        <f aca="false">0</f>
        <v>0</v>
      </c>
      <c r="P11" s="52" t="n">
        <f aca="false">0</f>
        <v>0</v>
      </c>
      <c r="Q11" s="52" t="n">
        <f aca="false">0</f>
        <v>0</v>
      </c>
      <c r="R11" s="52" t="n">
        <f aca="false">0</f>
        <v>0</v>
      </c>
      <c r="S11" s="52" t="n">
        <f aca="false">0</f>
        <v>0</v>
      </c>
      <c r="T11" s="52" t="n">
        <f aca="false">0</f>
        <v>0</v>
      </c>
      <c r="U11" s="52" t="n">
        <f aca="false">0</f>
        <v>0</v>
      </c>
      <c r="V11" s="52" t="n">
        <f aca="false">0</f>
        <v>0</v>
      </c>
      <c r="W11" s="52" t="n">
        <f aca="false">0</f>
        <v>0</v>
      </c>
      <c r="X11" s="52" t="n">
        <f aca="false">0</f>
        <v>0</v>
      </c>
      <c r="Y11" s="52" t="n">
        <f aca="false">0</f>
        <v>0</v>
      </c>
      <c r="Z11" s="52" t="n">
        <f aca="false">0</f>
        <v>0</v>
      </c>
      <c r="AA11" s="52" t="n">
        <f aca="false">0</f>
        <v>0</v>
      </c>
      <c r="AB11" s="52" t="n">
        <f aca="false">0</f>
        <v>0</v>
      </c>
      <c r="AC11" s="52" t="n">
        <f aca="false">0</f>
        <v>0</v>
      </c>
      <c r="AD11" s="52" t="n">
        <f aca="false">0</f>
        <v>0</v>
      </c>
      <c r="AE11" s="52" t="n">
        <f aca="false">0</f>
        <v>0</v>
      </c>
      <c r="AF11" s="52" t="n">
        <f aca="false">0</f>
        <v>0</v>
      </c>
      <c r="AG11" s="52" t="n">
        <f aca="false">0</f>
        <v>0</v>
      </c>
      <c r="AH11" s="52" t="n">
        <f aca="false">0</f>
        <v>0</v>
      </c>
    </row>
    <row r="12" customFormat="false" ht="15" hidden="false" customHeight="true" outlineLevel="0" collapsed="false">
      <c r="A12" s="33" t="s">
        <v>1408</v>
      </c>
      <c r="D12" s="52" t="n">
        <f aca="false">IF(D$3=0,0,in_I07*in_I03*in_I01)</f>
        <v>0</v>
      </c>
      <c r="E12" s="52" t="n">
        <f aca="false">IF(E$3=0,0,in_I07*in_I03*in_I01)</f>
        <v>2216</v>
      </c>
      <c r="F12" s="52" t="n">
        <f aca="false">IF(F$3=0,0,in_I07*in_I03*in_I01)</f>
        <v>2216</v>
      </c>
      <c r="G12" s="52" t="n">
        <f aca="false">IF(G$3=0,0,in_I07*in_I03*in_I01)</f>
        <v>2216</v>
      </c>
      <c r="H12" s="52" t="n">
        <f aca="false">IF(H$3=0,0,in_I07*in_I03*in_I01)</f>
        <v>2216</v>
      </c>
      <c r="I12" s="52" t="n">
        <f aca="false">IF(I$3=0,0,in_I07*in_I03*in_I01)</f>
        <v>2216</v>
      </c>
      <c r="J12" s="52" t="n">
        <f aca="false">IF(J$3=0,0,in_I07*in_I03*in_I01)</f>
        <v>2216</v>
      </c>
      <c r="K12" s="52" t="n">
        <f aca="false">IF(K$3=0,0,in_I07*in_I03*in_I01)</f>
        <v>2216</v>
      </c>
      <c r="L12" s="52" t="n">
        <f aca="false">IF(L$3=0,0,in_I07*in_I03*in_I01)</f>
        <v>2216</v>
      </c>
      <c r="M12" s="52" t="n">
        <f aca="false">IF(M$3=0,0,in_I07*in_I03*in_I01)</f>
        <v>2216</v>
      </c>
      <c r="N12" s="52" t="n">
        <f aca="false">IF(N$3=0,0,in_I07*in_I03*in_I01)</f>
        <v>2216</v>
      </c>
      <c r="O12" s="52" t="n">
        <f aca="false">IF(O$3=0,0,in_I07*in_I03*in_I01)</f>
        <v>2216</v>
      </c>
      <c r="P12" s="52" t="n">
        <f aca="false">IF(P$3=0,0,in_I07*in_I03*in_I01)</f>
        <v>2216</v>
      </c>
      <c r="Q12" s="52" t="n">
        <f aca="false">IF(Q$3=0,0,in_I07*in_I03*in_I01)</f>
        <v>2216</v>
      </c>
      <c r="R12" s="52" t="n">
        <f aca="false">IF(R$3=0,0,in_I07*in_I03*in_I01)</f>
        <v>2216</v>
      </c>
      <c r="S12" s="52" t="n">
        <f aca="false">IF(S$3=0,0,in_I07*in_I03*in_I01)</f>
        <v>2216</v>
      </c>
      <c r="T12" s="52" t="n">
        <f aca="false">IF(T$3=0,0,in_I07*in_I03*in_I01)</f>
        <v>2216</v>
      </c>
      <c r="U12" s="52" t="n">
        <f aca="false">IF(U$3=0,0,in_I07*in_I03*in_I01)</f>
        <v>2216</v>
      </c>
      <c r="V12" s="52" t="n">
        <f aca="false">IF(V$3=0,0,in_I07*in_I03*in_I01)</f>
        <v>2216</v>
      </c>
      <c r="W12" s="52" t="n">
        <f aca="false">IF(W$3=0,0,in_I07*in_I03*in_I01)</f>
        <v>2216</v>
      </c>
      <c r="X12" s="52" t="n">
        <f aca="false">IF(X$3=0,0,in_I07*in_I03*in_I01)</f>
        <v>2216</v>
      </c>
      <c r="Y12" s="52" t="n">
        <f aca="false">IF(Y$3=0,0,in_I07*in_I03*in_I01)</f>
        <v>2216</v>
      </c>
      <c r="Z12" s="52" t="n">
        <f aca="false">IF(Z$3=0,0,in_I07*in_I03*in_I01)</f>
        <v>2216</v>
      </c>
      <c r="AA12" s="52" t="n">
        <f aca="false">IF(AA$3=0,0,in_I07*in_I03*in_I01)</f>
        <v>2216</v>
      </c>
      <c r="AB12" s="52" t="n">
        <f aca="false">IF(AB$3=0,0,in_I07*in_I03*in_I01)</f>
        <v>2216</v>
      </c>
      <c r="AC12" s="52" t="n">
        <f aca="false">IF(AC$3=0,0,in_I07*in_I03*in_I01)</f>
        <v>2216</v>
      </c>
      <c r="AD12" s="52" t="n">
        <f aca="false">IF(AD$3=0,0,in_I07*in_I03*in_I01)</f>
        <v>2216</v>
      </c>
      <c r="AE12" s="52" t="n">
        <f aca="false">IF(AE$3=0,0,in_I07*in_I03*in_I01)</f>
        <v>2216</v>
      </c>
      <c r="AF12" s="52" t="n">
        <f aca="false">IF(AF$3=0,0,in_I07*in_I03*in_I01)</f>
        <v>2216</v>
      </c>
      <c r="AG12" s="52" t="n">
        <f aca="false">IF(AG$3=0,0,in_I07*in_I03*in_I01)</f>
        <v>2216</v>
      </c>
      <c r="AH12" s="52" t="n">
        <f aca="false">IF(AH$3=0,0,in_I07*in_I03*in_I01)</f>
        <v>2216</v>
      </c>
    </row>
    <row r="13" customFormat="false" ht="15" hidden="false" customHeight="true" outlineLevel="0" collapsed="false">
      <c r="A13" s="33" t="s">
        <v>1409</v>
      </c>
      <c r="D13" s="52" t="n">
        <f aca="false">D10+D11-D12</f>
        <v>0</v>
      </c>
      <c r="E13" s="52" t="n">
        <f aca="false">E10+E11-E12</f>
        <v>-1299.28868048521</v>
      </c>
      <c r="F13" s="52" t="n">
        <f aca="false">F10+F11-F12</f>
        <v>-1299.28868048521</v>
      </c>
      <c r="G13" s="52" t="n">
        <f aca="false">G10+G11-G12</f>
        <v>-1299.28868048521</v>
      </c>
      <c r="H13" s="52" t="n">
        <f aca="false">H10+H11-H12</f>
        <v>-1299.28868048521</v>
      </c>
      <c r="I13" s="52" t="n">
        <f aca="false">I10+I11-I12</f>
        <v>-1299.28868048521</v>
      </c>
      <c r="J13" s="52" t="n">
        <f aca="false">J10+J11-J12</f>
        <v>-1299.28868048521</v>
      </c>
      <c r="K13" s="52" t="n">
        <f aca="false">K10+K11-K12</f>
        <v>-1299.28868048521</v>
      </c>
      <c r="L13" s="52" t="n">
        <f aca="false">L10+L11-L12</f>
        <v>-1299.28868048521</v>
      </c>
      <c r="M13" s="52" t="n">
        <f aca="false">M10+M11-M12</f>
        <v>-1299.28868048521</v>
      </c>
      <c r="N13" s="52" t="n">
        <f aca="false">N10+N11-N12</f>
        <v>-1299.28868048521</v>
      </c>
      <c r="O13" s="52" t="n">
        <f aca="false">O10+O11-O12</f>
        <v>-1299.28868048521</v>
      </c>
      <c r="P13" s="52" t="n">
        <f aca="false">P10+P11-P12</f>
        <v>-1299.28868048521</v>
      </c>
      <c r="Q13" s="52" t="n">
        <f aca="false">Q10+Q11-Q12</f>
        <v>-1299.28868048521</v>
      </c>
      <c r="R13" s="52" t="n">
        <f aca="false">R10+R11-R12</f>
        <v>-1299.28868048521</v>
      </c>
      <c r="S13" s="52" t="n">
        <f aca="false">S10+S11-S12</f>
        <v>-1302.54729857271</v>
      </c>
      <c r="T13" s="52" t="n">
        <f aca="false">T10+T11-T12</f>
        <v>-1316.24908909412</v>
      </c>
      <c r="U13" s="52" t="n">
        <f aca="false">U10+U11-U12</f>
        <v>-1329.7453527577</v>
      </c>
      <c r="V13" s="52" t="n">
        <f aca="false">V10+V11-V12</f>
        <v>-1343.03917246634</v>
      </c>
      <c r="W13" s="52" t="n">
        <f aca="false">W10+W11-W12</f>
        <v>-1356.13358487935</v>
      </c>
      <c r="X13" s="52" t="n">
        <f aca="false">X10+X11-X12</f>
        <v>-1369.03158110615</v>
      </c>
      <c r="Y13" s="52" t="n">
        <f aca="false">Y10+Y11-Y12</f>
        <v>-1381.73610738956</v>
      </c>
      <c r="Z13" s="52" t="n">
        <f aca="false">Z10+Z11-Z12</f>
        <v>-1394.25006577872</v>
      </c>
      <c r="AA13" s="52" t="n">
        <f aca="false">AA10+AA11-AA12</f>
        <v>-1406.57631479205</v>
      </c>
      <c r="AB13" s="52" t="n">
        <f aca="false">AB10+AB11-AB12</f>
        <v>-1418.71767007015</v>
      </c>
      <c r="AC13" s="52" t="n">
        <f aca="false">AC10+AC11-AC12</f>
        <v>-1430.67690501911</v>
      </c>
      <c r="AD13" s="52" t="n">
        <f aca="false">AD10+AD11-AD12</f>
        <v>-1442.45675144382</v>
      </c>
      <c r="AE13" s="52" t="n">
        <f aca="false">AE10+AE11-AE12</f>
        <v>-1454.05990017217</v>
      </c>
      <c r="AF13" s="52" t="n">
        <f aca="false">AF10+AF11-AF12</f>
        <v>-1465.48900166957</v>
      </c>
      <c r="AG13" s="52" t="n">
        <f aca="false">AG10+AG11-AG12</f>
        <v>-1476.74666664453</v>
      </c>
      <c r="AH13" s="52" t="n">
        <f aca="false">AH10+AH11-AH12</f>
        <v>-1487.83546664487</v>
      </c>
    </row>
    <row r="14" customFormat="false" ht="15" hidden="false" customHeight="true" outlineLevel="0" collapsed="false">
      <c r="A14" s="33" t="s">
        <v>1410</v>
      </c>
      <c r="D14" s="52" t="n">
        <f aca="false">D$4*MAX(0,D13)</f>
        <v>0</v>
      </c>
      <c r="E14" s="52" t="n">
        <f aca="false">E$4*MAX(0,E13)</f>
        <v>0</v>
      </c>
      <c r="F14" s="52" t="n">
        <f aca="false">F$4*MAX(0,F13)</f>
        <v>0</v>
      </c>
      <c r="G14" s="52" t="n">
        <f aca="false">G$4*MAX(0,G13)</f>
        <v>0</v>
      </c>
      <c r="H14" s="52" t="n">
        <f aca="false">H$4*MAX(0,H13)</f>
        <v>0</v>
      </c>
      <c r="I14" s="52" t="n">
        <f aca="false">I$4*MAX(0,I13)</f>
        <v>0</v>
      </c>
      <c r="J14" s="52" t="n">
        <f aca="false">J$4*MAX(0,J13)</f>
        <v>0</v>
      </c>
      <c r="K14" s="52" t="n">
        <f aca="false">K$4*MAX(0,K13)</f>
        <v>0</v>
      </c>
      <c r="L14" s="52" t="n">
        <f aca="false">L$4*MAX(0,L13)</f>
        <v>0</v>
      </c>
      <c r="M14" s="52" t="n">
        <f aca="false">M$4*MAX(0,M13)</f>
        <v>0</v>
      </c>
      <c r="N14" s="52" t="n">
        <f aca="false">N$4*MAX(0,N13)</f>
        <v>0</v>
      </c>
      <c r="O14" s="52" t="n">
        <f aca="false">O$4*MAX(0,O13)</f>
        <v>0</v>
      </c>
      <c r="P14" s="52" t="n">
        <f aca="false">P$4*MAX(0,P13)</f>
        <v>0</v>
      </c>
      <c r="Q14" s="52" t="n">
        <f aca="false">Q$4*MAX(0,Q13)</f>
        <v>0</v>
      </c>
      <c r="R14" s="52" t="n">
        <f aca="false">R$4*MAX(0,R13)</f>
        <v>0</v>
      </c>
      <c r="S14" s="52" t="n">
        <f aca="false">S$4*MAX(0,S13)</f>
        <v>0</v>
      </c>
      <c r="T14" s="52" t="n">
        <f aca="false">T$4*MAX(0,T13)</f>
        <v>0</v>
      </c>
      <c r="U14" s="52" t="n">
        <f aca="false">U$4*MAX(0,U13)</f>
        <v>0</v>
      </c>
      <c r="V14" s="52" t="n">
        <f aca="false">V$4*MAX(0,V13)</f>
        <v>0</v>
      </c>
      <c r="W14" s="52" t="n">
        <f aca="false">W$4*MAX(0,W13)</f>
        <v>0</v>
      </c>
      <c r="X14" s="52" t="n">
        <f aca="false">X$4*MAX(0,X13)</f>
        <v>0</v>
      </c>
      <c r="Y14" s="52" t="n">
        <f aca="false">Y$4*MAX(0,Y13)</f>
        <v>0</v>
      </c>
      <c r="Z14" s="52" t="n">
        <f aca="false">Z$4*MAX(0,Z13)</f>
        <v>0</v>
      </c>
      <c r="AA14" s="52" t="n">
        <f aca="false">AA$4*MAX(0,AA13)</f>
        <v>0</v>
      </c>
      <c r="AB14" s="52" t="n">
        <f aca="false">AB$4*MAX(0,AB13)</f>
        <v>0</v>
      </c>
      <c r="AC14" s="52" t="n">
        <f aca="false">AC$4*MAX(0,AC13)</f>
        <v>0</v>
      </c>
      <c r="AD14" s="52" t="n">
        <f aca="false">AD$4*MAX(0,AD13)</f>
        <v>0</v>
      </c>
      <c r="AE14" s="52" t="n">
        <f aca="false">AE$4*MAX(0,AE13)</f>
        <v>0</v>
      </c>
      <c r="AF14" s="52" t="n">
        <f aca="false">AF$4*MAX(0,AF13)</f>
        <v>0</v>
      </c>
      <c r="AG14" s="52" t="n">
        <f aca="false">AG$4*MAX(0,AG13)</f>
        <v>0</v>
      </c>
      <c r="AH14" s="52" t="n">
        <f aca="false">AH$4*MAX(0,AH13)</f>
        <v>0</v>
      </c>
    </row>
    <row r="15" customFormat="false" ht="15" hidden="false" customHeight="true" outlineLevel="0" collapsed="false">
      <c r="A15" s="33" t="s">
        <v>1411</v>
      </c>
      <c r="C15" s="55" t="n">
        <f aca="false">SUMPRODUCT(D15:AH15,D$5:AH$5)</f>
        <v>-135111.791018998</v>
      </c>
      <c r="D15" s="55" t="n">
        <f aca="false">(D13-D9-D14)*D8</f>
        <v>-120577.777777778</v>
      </c>
      <c r="E15" s="55" t="n">
        <f aca="false">(E13-E9-E14)*E8</f>
        <v>-1299.28868048521</v>
      </c>
      <c r="F15" s="55" t="n">
        <f aca="false">(F13-F9-F14)*F8</f>
        <v>-1299.28868048521</v>
      </c>
      <c r="G15" s="55" t="n">
        <f aca="false">(G13-G9-G14)*G8</f>
        <v>-1299.28868048521</v>
      </c>
      <c r="H15" s="55" t="n">
        <f aca="false">(H13-H9-H14)*H8</f>
        <v>-1299.28868048521</v>
      </c>
      <c r="I15" s="55" t="n">
        <f aca="false">(I13-I9-I14)*I8</f>
        <v>-1299.28868048521</v>
      </c>
      <c r="J15" s="55" t="n">
        <f aca="false">(J13-J9-J14)*J8</f>
        <v>-1299.28868048521</v>
      </c>
      <c r="K15" s="55" t="n">
        <f aca="false">(K13-K9-K14)*K8</f>
        <v>-1299.28868048521</v>
      </c>
      <c r="L15" s="55" t="n">
        <f aca="false">(L13-L9-L14)*L8</f>
        <v>-11699.2886804852</v>
      </c>
      <c r="M15" s="55" t="n">
        <f aca="false">(M13-M9-M14)*M8</f>
        <v>-1299.28868048521</v>
      </c>
      <c r="N15" s="55" t="n">
        <f aca="false">(N13-N9-N14)*N8</f>
        <v>-1299.28868048521</v>
      </c>
      <c r="O15" s="55" t="n">
        <f aca="false">(O13-O9-O14)*O8</f>
        <v>-1299.28868048521</v>
      </c>
      <c r="P15" s="55" t="n">
        <f aca="false">(P13-P9-P14)*P8</f>
        <v>-1299.28868048521</v>
      </c>
      <c r="Q15" s="55" t="n">
        <f aca="false">(Q13-Q9-Q14)*Q8</f>
        <v>-1299.28868048521</v>
      </c>
      <c r="R15" s="55" t="n">
        <f aca="false">(R13-R9-R14)*R8</f>
        <v>-1299.28868048521</v>
      </c>
      <c r="S15" s="55" t="n">
        <f aca="false">(S13-S9-S14)*S8</f>
        <v>-1302.54729857271</v>
      </c>
      <c r="T15" s="55" t="n">
        <f aca="false">(T13-T9-T14)*T8</f>
        <v>-11716.2490890941</v>
      </c>
      <c r="U15" s="55" t="n">
        <f aca="false">(U13-U9-U14)*U8</f>
        <v>-1329.7453527577</v>
      </c>
      <c r="V15" s="55" t="n">
        <f aca="false">(V13-V9-V14)*V8</f>
        <v>-1343.03917246634</v>
      </c>
      <c r="W15" s="55" t="n">
        <f aca="false">(W13-W9-W14)*W8</f>
        <v>-1356.13358487935</v>
      </c>
      <c r="X15" s="55" t="n">
        <f aca="false">(X13-X9-X14)*X8</f>
        <v>-1369.03158110615</v>
      </c>
      <c r="Y15" s="55" t="n">
        <f aca="false">(Y13-Y9-Y14)*Y8</f>
        <v>-0</v>
      </c>
      <c r="Z15" s="55" t="n">
        <f aca="false">(Z13-Z9-Z14)*Z8</f>
        <v>-0</v>
      </c>
      <c r="AA15" s="55" t="n">
        <f aca="false">(AA13-AA9-AA14)*AA8</f>
        <v>-0</v>
      </c>
      <c r="AB15" s="55" t="n">
        <f aca="false">(AB13-AB9-AB14)*AB8</f>
        <v>-0</v>
      </c>
      <c r="AC15" s="55" t="n">
        <f aca="false">(AC13-AC9-AC14)*AC8</f>
        <v>-0</v>
      </c>
      <c r="AD15" s="55" t="n">
        <f aca="false">(AD13-AD9-AD14)*AD8</f>
        <v>-0</v>
      </c>
      <c r="AE15" s="55" t="n">
        <f aca="false">(AE13-AE9-AE14)*AE8</f>
        <v>-0</v>
      </c>
      <c r="AF15" s="55" t="n">
        <f aca="false">(AF13-AF9-AF14)*AF8</f>
        <v>-0</v>
      </c>
      <c r="AG15" s="55" t="n">
        <f aca="false">(AG13-AG9-AG14)*AG8</f>
        <v>-0</v>
      </c>
      <c r="AH15" s="55" t="n">
        <f aca="false">(AH13-AH9-AH14)*AH8</f>
        <v>-0</v>
      </c>
    </row>
    <row r="16" customFormat="false" ht="15" hidden="false" customHeight="true" outlineLevel="0" collapsed="false">
      <c r="A16" s="33" t="s">
        <v>1412</v>
      </c>
      <c r="C16" s="46" t="n">
        <f aca="false">SUMPRODUCT(D16:AH16,D$5:AH$5)</f>
        <v>70247.5157806401</v>
      </c>
      <c r="D16" s="52" t="n">
        <f aca="false">(IF(D$3=0,0,in_I03*in_I04))*D8</f>
        <v>0</v>
      </c>
      <c r="E16" s="52" t="n">
        <f aca="false">(IF(E$3=0,0,in_I03*in_I04))*E8</f>
        <v>10000</v>
      </c>
      <c r="F16" s="52" t="n">
        <f aca="false">(IF(F$3=0,0,in_I03*in_I04))*F8</f>
        <v>10000</v>
      </c>
      <c r="G16" s="52" t="n">
        <f aca="false">(IF(G$3=0,0,in_I03*in_I04))*G8</f>
        <v>10000</v>
      </c>
      <c r="H16" s="52" t="n">
        <f aca="false">(IF(H$3=0,0,in_I03*in_I04))*H8</f>
        <v>10000</v>
      </c>
      <c r="I16" s="52" t="n">
        <f aca="false">(IF(I$3=0,0,in_I03*in_I04))*I8</f>
        <v>10000</v>
      </c>
      <c r="J16" s="52" t="n">
        <f aca="false">(IF(J$3=0,0,in_I03*in_I04))*J8</f>
        <v>10000</v>
      </c>
      <c r="K16" s="52" t="n">
        <f aca="false">(IF(K$3=0,0,in_I03*in_I04))*K8</f>
        <v>10000</v>
      </c>
      <c r="L16" s="52" t="n">
        <f aca="false">(IF(L$3=0,0,in_I03*in_I04))*L8</f>
        <v>10000</v>
      </c>
      <c r="M16" s="52" t="n">
        <f aca="false">(IF(M$3=0,0,in_I03*in_I04))*M8</f>
        <v>10000</v>
      </c>
      <c r="N16" s="52" t="n">
        <f aca="false">(IF(N$3=0,0,in_I03*in_I04))*N8</f>
        <v>10000</v>
      </c>
      <c r="O16" s="52" t="n">
        <f aca="false">(IF(O$3=0,0,in_I03*in_I04))*O8</f>
        <v>10000</v>
      </c>
      <c r="P16" s="52" t="n">
        <f aca="false">(IF(P$3=0,0,in_I03*in_I04))*P8</f>
        <v>10000</v>
      </c>
      <c r="Q16" s="52" t="n">
        <f aca="false">(IF(Q$3=0,0,in_I03*in_I04))*Q8</f>
        <v>10000</v>
      </c>
      <c r="R16" s="52" t="n">
        <f aca="false">(IF(R$3=0,0,in_I03*in_I04))*R8</f>
        <v>10000</v>
      </c>
      <c r="S16" s="52" t="n">
        <f aca="false">(IF(S$3=0,0,in_I03*in_I04))*S8</f>
        <v>10000</v>
      </c>
      <c r="T16" s="52" t="n">
        <f aca="false">(IF(T$3=0,0,in_I03*in_I04))*T8</f>
        <v>10000</v>
      </c>
      <c r="U16" s="52" t="n">
        <f aca="false">(IF(U$3=0,0,in_I03*in_I04))*U8</f>
        <v>10000</v>
      </c>
      <c r="V16" s="52" t="n">
        <f aca="false">(IF(V$3=0,0,in_I03*in_I04))*V8</f>
        <v>10000</v>
      </c>
      <c r="W16" s="52" t="n">
        <f aca="false">(IF(W$3=0,0,in_I03*in_I04))*W8</f>
        <v>10000</v>
      </c>
      <c r="X16" s="52" t="n">
        <f aca="false">(IF(X$3=0,0,in_I03*in_I04))*X8</f>
        <v>10000</v>
      </c>
      <c r="Y16" s="52" t="n">
        <f aca="false">(IF(Y$3=0,0,in_I03*in_I04))*Y8</f>
        <v>0</v>
      </c>
      <c r="Z16" s="52" t="n">
        <f aca="false">(IF(Z$3=0,0,in_I03*in_I04))*Z8</f>
        <v>0</v>
      </c>
      <c r="AA16" s="52" t="n">
        <f aca="false">(IF(AA$3=0,0,in_I03*in_I04))*AA8</f>
        <v>0</v>
      </c>
      <c r="AB16" s="52" t="n">
        <f aca="false">(IF(AB$3=0,0,in_I03*in_I04))*AB8</f>
        <v>0</v>
      </c>
      <c r="AC16" s="52" t="n">
        <f aca="false">(IF(AC$3=0,0,in_I03*in_I04))*AC8</f>
        <v>0</v>
      </c>
      <c r="AD16" s="52" t="n">
        <f aca="false">(IF(AD$3=0,0,in_I03*in_I04))*AD8</f>
        <v>0</v>
      </c>
      <c r="AE16" s="52" t="n">
        <f aca="false">(IF(AE$3=0,0,in_I03*in_I04))*AE8</f>
        <v>0</v>
      </c>
      <c r="AF16" s="52" t="n">
        <f aca="false">(IF(AF$3=0,0,in_I03*in_I04))*AF8</f>
        <v>0</v>
      </c>
      <c r="AG16" s="52" t="n">
        <f aca="false">(IF(AG$3=0,0,in_I03*in_I04))*AG8</f>
        <v>0</v>
      </c>
      <c r="AH16" s="52" t="n">
        <f aca="false">(IF(AH$3=0,0,in_I03*in_I04))*AH8</f>
        <v>0</v>
      </c>
    </row>
    <row r="17" customFormat="false" ht="15" hidden="false" customHeight="true" outlineLevel="0" collapsed="false">
      <c r="A17" s="33" t="s">
        <v>1413</v>
      </c>
      <c r="C17" s="46" t="n">
        <f aca="false">SUMPRODUCT(D17:AH17,D$5:AH$5)</f>
        <v>6416.45973001867</v>
      </c>
      <c r="D17" s="52" t="n">
        <f aca="false">D10*D8</f>
        <v>0</v>
      </c>
      <c r="E17" s="52" t="n">
        <f aca="false">E10*E8</f>
        <v>916.71131951479</v>
      </c>
      <c r="F17" s="52" t="n">
        <f aca="false">F10*F8</f>
        <v>916.71131951479</v>
      </c>
      <c r="G17" s="52" t="n">
        <f aca="false">G10*G8</f>
        <v>916.71131951479</v>
      </c>
      <c r="H17" s="52" t="n">
        <f aca="false">H10*H8</f>
        <v>916.71131951479</v>
      </c>
      <c r="I17" s="52" t="n">
        <f aca="false">I10*I8</f>
        <v>916.71131951479</v>
      </c>
      <c r="J17" s="52" t="n">
        <f aca="false">J10*J8</f>
        <v>916.71131951479</v>
      </c>
      <c r="K17" s="52" t="n">
        <f aca="false">K10*K8</f>
        <v>916.71131951479</v>
      </c>
      <c r="L17" s="52" t="n">
        <f aca="false">L10*L8</f>
        <v>916.71131951479</v>
      </c>
      <c r="M17" s="52" t="n">
        <f aca="false">M10*M8</f>
        <v>916.71131951479</v>
      </c>
      <c r="N17" s="52" t="n">
        <f aca="false">N10*N8</f>
        <v>916.71131951479</v>
      </c>
      <c r="O17" s="52" t="n">
        <f aca="false">O10*O8</f>
        <v>916.71131951479</v>
      </c>
      <c r="P17" s="52" t="n">
        <f aca="false">P10*P8</f>
        <v>916.71131951479</v>
      </c>
      <c r="Q17" s="52" t="n">
        <f aca="false">Q10*Q8</f>
        <v>916.71131951479</v>
      </c>
      <c r="R17" s="52" t="n">
        <f aca="false">R10*R8</f>
        <v>916.71131951479</v>
      </c>
      <c r="S17" s="52" t="n">
        <f aca="false">S10*S8</f>
        <v>913.45270142729</v>
      </c>
      <c r="T17" s="52" t="n">
        <f aca="false">T10*T8</f>
        <v>899.750910905881</v>
      </c>
      <c r="U17" s="52" t="n">
        <f aca="false">U10*U8</f>
        <v>886.254647242298</v>
      </c>
      <c r="V17" s="52" t="n">
        <f aca="false">V10*V8</f>
        <v>872.960827533658</v>
      </c>
      <c r="W17" s="52" t="n">
        <f aca="false">W10*W8</f>
        <v>859.866415120654</v>
      </c>
      <c r="X17" s="52" t="n">
        <f aca="false">X10*X8</f>
        <v>846.968418893848</v>
      </c>
      <c r="Y17" s="52" t="n">
        <f aca="false">Y10*Y8</f>
        <v>0</v>
      </c>
      <c r="Z17" s="52" t="n">
        <f aca="false">Z10*Z8</f>
        <v>0</v>
      </c>
      <c r="AA17" s="52" t="n">
        <f aca="false">AA10*AA8</f>
        <v>0</v>
      </c>
      <c r="AB17" s="52" t="n">
        <f aca="false">AB10*AB8</f>
        <v>0</v>
      </c>
      <c r="AC17" s="52" t="n">
        <f aca="false">AC10*AC8</f>
        <v>0</v>
      </c>
      <c r="AD17" s="52" t="n">
        <f aca="false">AD10*AD8</f>
        <v>0</v>
      </c>
      <c r="AE17" s="52" t="n">
        <f aca="false">AE10*AE8</f>
        <v>0</v>
      </c>
      <c r="AF17" s="52" t="n">
        <f aca="false">AF10*AF8</f>
        <v>0</v>
      </c>
      <c r="AG17" s="52" t="n">
        <f aca="false">AG10*AG8</f>
        <v>0</v>
      </c>
      <c r="AH17" s="52" t="n">
        <f aca="false">AH10*AH8</f>
        <v>0</v>
      </c>
    </row>
    <row r="19" customFormat="false" ht="15" hidden="false" customHeight="true" outlineLevel="0" collapsed="false">
      <c r="A19" s="53" t="s">
        <v>371</v>
      </c>
      <c r="B19" s="58" t="s">
        <v>1403</v>
      </c>
      <c r="C19" s="59" t="n">
        <f aca="false">in_G02a</f>
        <v>20</v>
      </c>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row>
    <row r="20" customFormat="false" ht="15" hidden="false" customHeight="true" outlineLevel="0" collapsed="false">
      <c r="A20" s="33" t="s">
        <v>1404</v>
      </c>
      <c r="D20" s="61" t="n">
        <f aca="false">IF(D$3&lt;=in_G02a,1,0)</f>
        <v>1</v>
      </c>
      <c r="E20" s="61" t="n">
        <f aca="false">IF(E$3&lt;=in_G02a,1,0)</f>
        <v>1</v>
      </c>
      <c r="F20" s="61" t="n">
        <f aca="false">IF(F$3&lt;=in_G02a,1,0)</f>
        <v>1</v>
      </c>
      <c r="G20" s="61" t="n">
        <f aca="false">IF(G$3&lt;=in_G02a,1,0)</f>
        <v>1</v>
      </c>
      <c r="H20" s="61" t="n">
        <f aca="false">IF(H$3&lt;=in_G02a,1,0)</f>
        <v>1</v>
      </c>
      <c r="I20" s="61" t="n">
        <f aca="false">IF(I$3&lt;=in_G02a,1,0)</f>
        <v>1</v>
      </c>
      <c r="J20" s="61" t="n">
        <f aca="false">IF(J$3&lt;=in_G02a,1,0)</f>
        <v>1</v>
      </c>
      <c r="K20" s="61" t="n">
        <f aca="false">IF(K$3&lt;=in_G02a,1,0)</f>
        <v>1</v>
      </c>
      <c r="L20" s="61" t="n">
        <f aca="false">IF(L$3&lt;=in_G02a,1,0)</f>
        <v>1</v>
      </c>
      <c r="M20" s="61" t="n">
        <f aca="false">IF(M$3&lt;=in_G02a,1,0)</f>
        <v>1</v>
      </c>
      <c r="N20" s="61" t="n">
        <f aca="false">IF(N$3&lt;=in_G02a,1,0)</f>
        <v>1</v>
      </c>
      <c r="O20" s="61" t="n">
        <f aca="false">IF(O$3&lt;=in_G02a,1,0)</f>
        <v>1</v>
      </c>
      <c r="P20" s="61" t="n">
        <f aca="false">IF(P$3&lt;=in_G02a,1,0)</f>
        <v>1</v>
      </c>
      <c r="Q20" s="61" t="n">
        <f aca="false">IF(Q$3&lt;=in_G02a,1,0)</f>
        <v>1</v>
      </c>
      <c r="R20" s="61" t="n">
        <f aca="false">IF(R$3&lt;=in_G02a,1,0)</f>
        <v>1</v>
      </c>
      <c r="S20" s="61" t="n">
        <f aca="false">IF(S$3&lt;=in_G02a,1,0)</f>
        <v>1</v>
      </c>
      <c r="T20" s="61" t="n">
        <f aca="false">IF(T$3&lt;=in_G02a,1,0)</f>
        <v>1</v>
      </c>
      <c r="U20" s="61" t="n">
        <f aca="false">IF(U$3&lt;=in_G02a,1,0)</f>
        <v>1</v>
      </c>
      <c r="V20" s="61" t="n">
        <f aca="false">IF(V$3&lt;=in_G02a,1,0)</f>
        <v>1</v>
      </c>
      <c r="W20" s="61" t="n">
        <f aca="false">IF(W$3&lt;=in_G02a,1,0)</f>
        <v>1</v>
      </c>
      <c r="X20" s="61" t="n">
        <f aca="false">IF(X$3&lt;=in_G02a,1,0)</f>
        <v>1</v>
      </c>
      <c r="Y20" s="61" t="n">
        <f aca="false">IF(Y$3&lt;=in_G02a,1,0)</f>
        <v>0</v>
      </c>
      <c r="Z20" s="61" t="n">
        <f aca="false">IF(Z$3&lt;=in_G02a,1,0)</f>
        <v>0</v>
      </c>
      <c r="AA20" s="61" t="n">
        <f aca="false">IF(AA$3&lt;=in_G02a,1,0)</f>
        <v>0</v>
      </c>
      <c r="AB20" s="61" t="n">
        <f aca="false">IF(AB$3&lt;=in_G02a,1,0)</f>
        <v>0</v>
      </c>
      <c r="AC20" s="61" t="n">
        <f aca="false">IF(AC$3&lt;=in_G02a,1,0)</f>
        <v>0</v>
      </c>
      <c r="AD20" s="61" t="n">
        <f aca="false">IF(AD$3&lt;=in_G02a,1,0)</f>
        <v>0</v>
      </c>
      <c r="AE20" s="61" t="n">
        <f aca="false">IF(AE$3&lt;=in_G02a,1,0)</f>
        <v>0</v>
      </c>
      <c r="AF20" s="61" t="n">
        <f aca="false">IF(AF$3&lt;=in_G02a,1,0)</f>
        <v>0</v>
      </c>
      <c r="AG20" s="61" t="n">
        <f aca="false">IF(AG$3&lt;=in_G02a,1,0)</f>
        <v>0</v>
      </c>
      <c r="AH20" s="61" t="n">
        <f aca="false">IF(AH$3&lt;=in_G02a,1,0)</f>
        <v>0</v>
      </c>
    </row>
    <row r="21" customFormat="false" ht="15" hidden="false" customHeight="true" outlineLevel="0" collapsed="false">
      <c r="A21" s="33" t="s">
        <v>1405</v>
      </c>
      <c r="C21" s="46" t="n">
        <f aca="false">SUMPRODUCT(D21:AH21,D$5:AH$5)</f>
        <v>32114.7438921605</v>
      </c>
      <c r="D21" s="52" t="n">
        <f aca="false">IF(AND(MOD(D$3,in_A13)=0,D$3&lt;in_G02a),in_A08*in_A01*(1-in_P02),0)</f>
        <v>20000</v>
      </c>
      <c r="E21" s="52" t="n">
        <f aca="false">IF(AND(MOD(E$3,in_A13)=0,E$3&lt;in_G02a),in_A08*in_A01*(1-in_P02),0)</f>
        <v>0</v>
      </c>
      <c r="F21" s="52" t="n">
        <f aca="false">IF(AND(MOD(F$3,in_A13)=0,F$3&lt;in_G02a),in_A08*in_A01*(1-in_P02),0)</f>
        <v>0</v>
      </c>
      <c r="G21" s="52" t="n">
        <f aca="false">IF(AND(MOD(G$3,in_A13)=0,G$3&lt;in_G02a),in_A08*in_A01*(1-in_P02),0)</f>
        <v>0</v>
      </c>
      <c r="H21" s="52" t="n">
        <f aca="false">IF(AND(MOD(H$3,in_A13)=0,H$3&lt;in_G02a),in_A08*in_A01*(1-in_P02),0)</f>
        <v>0</v>
      </c>
      <c r="I21" s="52" t="n">
        <f aca="false">IF(AND(MOD(I$3,in_A13)=0,I$3&lt;in_G02a),in_A08*in_A01*(1-in_P02),0)</f>
        <v>0</v>
      </c>
      <c r="J21" s="52" t="n">
        <f aca="false">IF(AND(MOD(J$3,in_A13)=0,J$3&lt;in_G02a),in_A08*in_A01*(1-in_P02),0)</f>
        <v>0</v>
      </c>
      <c r="K21" s="52" t="n">
        <f aca="false">IF(AND(MOD(K$3,in_A13)=0,K$3&lt;in_G02a),in_A08*in_A01*(1-in_P02),0)</f>
        <v>20000</v>
      </c>
      <c r="L21" s="52" t="n">
        <f aca="false">IF(AND(MOD(L$3,in_A13)=0,L$3&lt;in_G02a),in_A08*in_A01*(1-in_P02),0)</f>
        <v>0</v>
      </c>
      <c r="M21" s="52" t="n">
        <f aca="false">IF(AND(MOD(M$3,in_A13)=0,M$3&lt;in_G02a),in_A08*in_A01*(1-in_P02),0)</f>
        <v>0</v>
      </c>
      <c r="N21" s="52" t="n">
        <f aca="false">IF(AND(MOD(N$3,in_A13)=0,N$3&lt;in_G02a),in_A08*in_A01*(1-in_P02),0)</f>
        <v>0</v>
      </c>
      <c r="O21" s="52" t="n">
        <f aca="false">IF(AND(MOD(O$3,in_A13)=0,O$3&lt;in_G02a),in_A08*in_A01*(1-in_P02),0)</f>
        <v>0</v>
      </c>
      <c r="P21" s="52" t="n">
        <f aca="false">IF(AND(MOD(P$3,in_A13)=0,P$3&lt;in_G02a),in_A08*in_A01*(1-in_P02),0)</f>
        <v>0</v>
      </c>
      <c r="Q21" s="52" t="n">
        <f aca="false">IF(AND(MOD(Q$3,in_A13)=0,Q$3&lt;in_G02a),in_A08*in_A01*(1-in_P02),0)</f>
        <v>0</v>
      </c>
      <c r="R21" s="52" t="n">
        <f aca="false">IF(AND(MOD(R$3,in_A13)=0,R$3&lt;in_G02a),in_A08*in_A01*(1-in_P02),0)</f>
        <v>20000</v>
      </c>
      <c r="S21" s="52" t="n">
        <f aca="false">IF(AND(MOD(S$3,in_A13)=0,S$3&lt;in_G02a),in_A08*in_A01*(1-in_P02),0)</f>
        <v>0</v>
      </c>
      <c r="T21" s="52" t="n">
        <f aca="false">IF(AND(MOD(T$3,in_A13)=0,T$3&lt;in_G02a),in_A08*in_A01*(1-in_P02),0)</f>
        <v>0</v>
      </c>
      <c r="U21" s="52" t="n">
        <f aca="false">IF(AND(MOD(U$3,in_A13)=0,U$3&lt;in_G02a),in_A08*in_A01*(1-in_P02),0)</f>
        <v>0</v>
      </c>
      <c r="V21" s="52" t="n">
        <f aca="false">IF(AND(MOD(V$3,in_A13)=0,V$3&lt;in_G02a),in_A08*in_A01*(1-in_P02),0)</f>
        <v>0</v>
      </c>
      <c r="W21" s="52" t="n">
        <f aca="false">IF(AND(MOD(W$3,in_A13)=0,W$3&lt;in_G02a),in_A08*in_A01*(1-in_P02),0)</f>
        <v>0</v>
      </c>
      <c r="X21" s="52" t="n">
        <f aca="false">IF(AND(MOD(X$3,in_A13)=0,X$3&lt;in_G02a),in_A08*in_A01*(1-in_P02),0)</f>
        <v>0</v>
      </c>
      <c r="Y21" s="52" t="n">
        <f aca="false">IF(AND(MOD(Y$3,in_A13)=0,Y$3&lt;in_G02a),in_A08*in_A01*(1-in_P02),0)</f>
        <v>0</v>
      </c>
      <c r="Z21" s="52" t="n">
        <f aca="false">IF(AND(MOD(Z$3,in_A13)=0,Z$3&lt;in_G02a),in_A08*in_A01*(1-in_P02),0)</f>
        <v>0</v>
      </c>
      <c r="AA21" s="52" t="n">
        <f aca="false">IF(AND(MOD(AA$3,in_A13)=0,AA$3&lt;in_G02a),in_A08*in_A01*(1-in_P02),0)</f>
        <v>0</v>
      </c>
      <c r="AB21" s="52" t="n">
        <f aca="false">IF(AND(MOD(AB$3,in_A13)=0,AB$3&lt;in_G02a),in_A08*in_A01*(1-in_P02),0)</f>
        <v>0</v>
      </c>
      <c r="AC21" s="52" t="n">
        <f aca="false">IF(AND(MOD(AC$3,in_A13)=0,AC$3&lt;in_G02a),in_A08*in_A01*(1-in_P02),0)</f>
        <v>0</v>
      </c>
      <c r="AD21" s="52" t="n">
        <f aca="false">IF(AND(MOD(AD$3,in_A13)=0,AD$3&lt;in_G02a),in_A08*in_A01*(1-in_P02),0)</f>
        <v>0</v>
      </c>
      <c r="AE21" s="52" t="n">
        <f aca="false">IF(AND(MOD(AE$3,in_A13)=0,AE$3&lt;in_G02a),in_A08*in_A01*(1-in_P02),0)</f>
        <v>0</v>
      </c>
      <c r="AF21" s="52" t="n">
        <f aca="false">IF(AND(MOD(AF$3,in_A13)=0,AF$3&lt;in_G02a),in_A08*in_A01*(1-in_P02),0)</f>
        <v>0</v>
      </c>
      <c r="AG21" s="52" t="n">
        <f aca="false">IF(AND(MOD(AG$3,in_A13)=0,AG$3&lt;in_G02a),in_A08*in_A01*(1-in_P02),0)</f>
        <v>0</v>
      </c>
      <c r="AH21" s="52" t="n">
        <f aca="false">IF(AND(MOD(AH$3,in_A13)=0,AH$3&lt;in_G02a),in_A08*in_A01*(1-in_P02),0)</f>
        <v>0</v>
      </c>
    </row>
    <row r="22" customFormat="false" ht="15" hidden="false" customHeight="true" outlineLevel="0" collapsed="false">
      <c r="A22" s="33" t="s">
        <v>1406</v>
      </c>
      <c r="D22" s="52" t="n">
        <f aca="false">Supply!D22</f>
        <v>0</v>
      </c>
      <c r="E22" s="52" t="n">
        <f aca="false">Supply!E22</f>
        <v>127.869049480156</v>
      </c>
      <c r="F22" s="52" t="n">
        <f aca="false">Supply!F22</f>
        <v>127.869049480156</v>
      </c>
      <c r="G22" s="52" t="n">
        <f aca="false">Supply!G22</f>
        <v>127.869049480156</v>
      </c>
      <c r="H22" s="52" t="n">
        <f aca="false">Supply!H22</f>
        <v>127.869049480156</v>
      </c>
      <c r="I22" s="52" t="n">
        <f aca="false">Supply!I22</f>
        <v>127.869049480156</v>
      </c>
      <c r="J22" s="52" t="n">
        <f aca="false">Supply!J22</f>
        <v>127.869049480156</v>
      </c>
      <c r="K22" s="52" t="n">
        <f aca="false">Supply!K22</f>
        <v>127.869049480156</v>
      </c>
      <c r="L22" s="52" t="n">
        <f aca="false">Supply!L22</f>
        <v>127.869049480156</v>
      </c>
      <c r="M22" s="52" t="n">
        <f aca="false">Supply!M22</f>
        <v>127.869049480156</v>
      </c>
      <c r="N22" s="52" t="n">
        <f aca="false">Supply!N22</f>
        <v>127.869049480156</v>
      </c>
      <c r="O22" s="52" t="n">
        <f aca="false">Supply!O22</f>
        <v>127.869049480156</v>
      </c>
      <c r="P22" s="52" t="n">
        <f aca="false">Supply!P22</f>
        <v>127.869049480156</v>
      </c>
      <c r="Q22" s="52" t="n">
        <f aca="false">Supply!Q22</f>
        <v>127.869049480156</v>
      </c>
      <c r="R22" s="52" t="n">
        <f aca="false">Supply!R22</f>
        <v>127.869049480156</v>
      </c>
      <c r="S22" s="52" t="n">
        <f aca="false">Supply!S22</f>
        <v>127.414515551536</v>
      </c>
      <c r="T22" s="52" t="n">
        <f aca="false">Supply!T22</f>
        <v>125.503297818264</v>
      </c>
      <c r="U22" s="52" t="n">
        <f aca="false">Supply!U22</f>
        <v>123.620748350986</v>
      </c>
      <c r="V22" s="52" t="n">
        <f aca="false">Supply!V22</f>
        <v>121.76643712572</v>
      </c>
      <c r="W22" s="52" t="n">
        <f aca="false">Supply!W22</f>
        <v>119.939940568838</v>
      </c>
      <c r="X22" s="52" t="n">
        <f aca="false">Supply!X22</f>
        <v>118.140841460307</v>
      </c>
      <c r="Y22" s="52" t="n">
        <f aca="false">Supply!Y22</f>
        <v>116.36872883841</v>
      </c>
      <c r="Z22" s="52" t="n">
        <f aca="false">Supply!Z22</f>
        <v>114.623197905821</v>
      </c>
      <c r="AA22" s="52" t="n">
        <f aca="false">Supply!AA22</f>
        <v>112.903849937225</v>
      </c>
      <c r="AB22" s="52" t="n">
        <f aca="false">Supply!AB22</f>
        <v>111.210292188174</v>
      </c>
      <c r="AC22" s="52" t="n">
        <f aca="false">Supply!AC22</f>
        <v>109.542137805358</v>
      </c>
      <c r="AD22" s="52" t="n">
        <f aca="false">Supply!AD22</f>
        <v>107.899005738276</v>
      </c>
      <c r="AE22" s="52" t="n">
        <f aca="false">Supply!AE22</f>
        <v>106.280520652203</v>
      </c>
      <c r="AF22" s="52" t="n">
        <f aca="false">Supply!AF22</f>
        <v>104.686312842416</v>
      </c>
      <c r="AG22" s="52" t="n">
        <f aca="false">Supply!AG22</f>
        <v>103.116018149798</v>
      </c>
      <c r="AH22" s="52" t="n">
        <f aca="false">Supply!AH22</f>
        <v>101.569277877526</v>
      </c>
    </row>
    <row r="23" customFormat="false" ht="15" hidden="false" customHeight="true" outlineLevel="0" collapsed="false">
      <c r="A23" s="33" t="s">
        <v>1407</v>
      </c>
      <c r="D23" s="52" t="n">
        <f aca="false">IF(D$3=0,0,c_wax*MAX(0,in_A09-in_A05))</f>
        <v>0</v>
      </c>
      <c r="E23" s="52" t="n">
        <f aca="false">IF(E$3=0,0,c_wax*MAX(0,in_A09-in_A05))</f>
        <v>0</v>
      </c>
      <c r="F23" s="52" t="n">
        <f aca="false">IF(F$3=0,0,c_wax*MAX(0,in_A09-in_A05))</f>
        <v>0</v>
      </c>
      <c r="G23" s="52" t="n">
        <f aca="false">IF(G$3=0,0,c_wax*MAX(0,in_A09-in_A05))</f>
        <v>0</v>
      </c>
      <c r="H23" s="52" t="n">
        <f aca="false">IF(H$3=0,0,c_wax*MAX(0,in_A09-in_A05))</f>
        <v>0</v>
      </c>
      <c r="I23" s="52" t="n">
        <f aca="false">IF(I$3=0,0,c_wax*MAX(0,in_A09-in_A05))</f>
        <v>0</v>
      </c>
      <c r="J23" s="52" t="n">
        <f aca="false">IF(J$3=0,0,c_wax*MAX(0,in_A09-in_A05))</f>
        <v>0</v>
      </c>
      <c r="K23" s="52" t="n">
        <f aca="false">IF(K$3=0,0,c_wax*MAX(0,in_A09-in_A05))</f>
        <v>0</v>
      </c>
      <c r="L23" s="52" t="n">
        <f aca="false">IF(L$3=0,0,c_wax*MAX(0,in_A09-in_A05))</f>
        <v>0</v>
      </c>
      <c r="M23" s="52" t="n">
        <f aca="false">IF(M$3=0,0,c_wax*MAX(0,in_A09-in_A05))</f>
        <v>0</v>
      </c>
      <c r="N23" s="52" t="n">
        <f aca="false">IF(N$3=0,0,c_wax*MAX(0,in_A09-in_A05))</f>
        <v>0</v>
      </c>
      <c r="O23" s="52" t="n">
        <f aca="false">IF(O$3=0,0,c_wax*MAX(0,in_A09-in_A05))</f>
        <v>0</v>
      </c>
      <c r="P23" s="52" t="n">
        <f aca="false">IF(P$3=0,0,c_wax*MAX(0,in_A09-in_A05))</f>
        <v>0</v>
      </c>
      <c r="Q23" s="52" t="n">
        <f aca="false">IF(Q$3=0,0,c_wax*MAX(0,in_A09-in_A05))</f>
        <v>0</v>
      </c>
      <c r="R23" s="52" t="n">
        <f aca="false">IF(R$3=0,0,c_wax*MAX(0,in_A09-in_A05))</f>
        <v>0</v>
      </c>
      <c r="S23" s="52" t="n">
        <f aca="false">IF(S$3=0,0,c_wax*MAX(0,in_A09-in_A05))</f>
        <v>0</v>
      </c>
      <c r="T23" s="52" t="n">
        <f aca="false">IF(T$3=0,0,c_wax*MAX(0,in_A09-in_A05))</f>
        <v>0</v>
      </c>
      <c r="U23" s="52" t="n">
        <f aca="false">IF(U$3=0,0,c_wax*MAX(0,in_A09-in_A05))</f>
        <v>0</v>
      </c>
      <c r="V23" s="52" t="n">
        <f aca="false">IF(V$3=0,0,c_wax*MAX(0,in_A09-in_A05))</f>
        <v>0</v>
      </c>
      <c r="W23" s="52" t="n">
        <f aca="false">IF(W$3=0,0,c_wax*MAX(0,in_A09-in_A05))</f>
        <v>0</v>
      </c>
      <c r="X23" s="52" t="n">
        <f aca="false">IF(X$3=0,0,c_wax*MAX(0,in_A09-in_A05))</f>
        <v>0</v>
      </c>
      <c r="Y23" s="52" t="n">
        <f aca="false">IF(Y$3=0,0,c_wax*MAX(0,in_A09-in_A05))</f>
        <v>0</v>
      </c>
      <c r="Z23" s="52" t="n">
        <f aca="false">IF(Z$3=0,0,c_wax*MAX(0,in_A09-in_A05))</f>
        <v>0</v>
      </c>
      <c r="AA23" s="52" t="n">
        <f aca="false">IF(AA$3=0,0,c_wax*MAX(0,in_A09-in_A05))</f>
        <v>0</v>
      </c>
      <c r="AB23" s="52" t="n">
        <f aca="false">IF(AB$3=0,0,c_wax*MAX(0,in_A09-in_A05))</f>
        <v>0</v>
      </c>
      <c r="AC23" s="52" t="n">
        <f aca="false">IF(AC$3=0,0,c_wax*MAX(0,in_A09-in_A05))</f>
        <v>0</v>
      </c>
      <c r="AD23" s="52" t="n">
        <f aca="false">IF(AD$3=0,0,c_wax*MAX(0,in_A09-in_A05))</f>
        <v>0</v>
      </c>
      <c r="AE23" s="52" t="n">
        <f aca="false">IF(AE$3=0,0,c_wax*MAX(0,in_A09-in_A05))</f>
        <v>0</v>
      </c>
      <c r="AF23" s="52" t="n">
        <f aca="false">IF(AF$3=0,0,c_wax*MAX(0,in_A09-in_A05))</f>
        <v>0</v>
      </c>
      <c r="AG23" s="52" t="n">
        <f aca="false">IF(AG$3=0,0,c_wax*MAX(0,in_A09-in_A05))</f>
        <v>0</v>
      </c>
      <c r="AH23" s="52" t="n">
        <f aca="false">IF(AH$3=0,0,c_wax*MAX(0,in_A09-in_A05))</f>
        <v>0</v>
      </c>
    </row>
    <row r="24" customFormat="false" ht="15" hidden="false" customHeight="true" outlineLevel="0" collapsed="false">
      <c r="A24" s="33" t="s">
        <v>1408</v>
      </c>
      <c r="D24" s="52" t="n">
        <f aca="false">0</f>
        <v>0</v>
      </c>
      <c r="E24" s="52" t="n">
        <f aca="false">0</f>
        <v>0</v>
      </c>
      <c r="F24" s="52" t="n">
        <f aca="false">0</f>
        <v>0</v>
      </c>
      <c r="G24" s="52" t="n">
        <f aca="false">0</f>
        <v>0</v>
      </c>
      <c r="H24" s="52" t="n">
        <f aca="false">0</f>
        <v>0</v>
      </c>
      <c r="I24" s="52" t="n">
        <f aca="false">0</f>
        <v>0</v>
      </c>
      <c r="J24" s="52" t="n">
        <f aca="false">0</f>
        <v>0</v>
      </c>
      <c r="K24" s="52" t="n">
        <f aca="false">0</f>
        <v>0</v>
      </c>
      <c r="L24" s="52" t="n">
        <f aca="false">0</f>
        <v>0</v>
      </c>
      <c r="M24" s="52" t="n">
        <f aca="false">0</f>
        <v>0</v>
      </c>
      <c r="N24" s="52" t="n">
        <f aca="false">0</f>
        <v>0</v>
      </c>
      <c r="O24" s="52" t="n">
        <f aca="false">0</f>
        <v>0</v>
      </c>
      <c r="P24" s="52" t="n">
        <f aca="false">0</f>
        <v>0</v>
      </c>
      <c r="Q24" s="52" t="n">
        <f aca="false">0</f>
        <v>0</v>
      </c>
      <c r="R24" s="52" t="n">
        <f aca="false">0</f>
        <v>0</v>
      </c>
      <c r="S24" s="52" t="n">
        <f aca="false">0</f>
        <v>0</v>
      </c>
      <c r="T24" s="52" t="n">
        <f aca="false">0</f>
        <v>0</v>
      </c>
      <c r="U24" s="52" t="n">
        <f aca="false">0</f>
        <v>0</v>
      </c>
      <c r="V24" s="52" t="n">
        <f aca="false">0</f>
        <v>0</v>
      </c>
      <c r="W24" s="52" t="n">
        <f aca="false">0</f>
        <v>0</v>
      </c>
      <c r="X24" s="52" t="n">
        <f aca="false">0</f>
        <v>0</v>
      </c>
      <c r="Y24" s="52" t="n">
        <f aca="false">0</f>
        <v>0</v>
      </c>
      <c r="Z24" s="52" t="n">
        <f aca="false">0</f>
        <v>0</v>
      </c>
      <c r="AA24" s="52" t="n">
        <f aca="false">0</f>
        <v>0</v>
      </c>
      <c r="AB24" s="52" t="n">
        <f aca="false">0</f>
        <v>0</v>
      </c>
      <c r="AC24" s="52" t="n">
        <f aca="false">0</f>
        <v>0</v>
      </c>
      <c r="AD24" s="52" t="n">
        <f aca="false">0</f>
        <v>0</v>
      </c>
      <c r="AE24" s="52" t="n">
        <f aca="false">0</f>
        <v>0</v>
      </c>
      <c r="AF24" s="52" t="n">
        <f aca="false">0</f>
        <v>0</v>
      </c>
      <c r="AG24" s="52" t="n">
        <f aca="false">0</f>
        <v>0</v>
      </c>
      <c r="AH24" s="52" t="n">
        <f aca="false">0</f>
        <v>0</v>
      </c>
    </row>
    <row r="25" customFormat="false" ht="15" hidden="false" customHeight="true" outlineLevel="0" collapsed="false">
      <c r="A25" s="33" t="s">
        <v>1409</v>
      </c>
      <c r="D25" s="52" t="n">
        <f aca="false">D22+D23-D24</f>
        <v>0</v>
      </c>
      <c r="E25" s="52" t="n">
        <f aca="false">E22+E23-E24</f>
        <v>127.869049480156</v>
      </c>
      <c r="F25" s="52" t="n">
        <f aca="false">F22+F23-F24</f>
        <v>127.869049480156</v>
      </c>
      <c r="G25" s="52" t="n">
        <f aca="false">G22+G23-G24</f>
        <v>127.869049480156</v>
      </c>
      <c r="H25" s="52" t="n">
        <f aca="false">H22+H23-H24</f>
        <v>127.869049480156</v>
      </c>
      <c r="I25" s="52" t="n">
        <f aca="false">I22+I23-I24</f>
        <v>127.869049480156</v>
      </c>
      <c r="J25" s="52" t="n">
        <f aca="false">J22+J23-J24</f>
        <v>127.869049480156</v>
      </c>
      <c r="K25" s="52" t="n">
        <f aca="false">K22+K23-K24</f>
        <v>127.869049480156</v>
      </c>
      <c r="L25" s="52" t="n">
        <f aca="false">L22+L23-L24</f>
        <v>127.869049480156</v>
      </c>
      <c r="M25" s="52" t="n">
        <f aca="false">M22+M23-M24</f>
        <v>127.869049480156</v>
      </c>
      <c r="N25" s="52" t="n">
        <f aca="false">N22+N23-N24</f>
        <v>127.869049480156</v>
      </c>
      <c r="O25" s="52" t="n">
        <f aca="false">O22+O23-O24</f>
        <v>127.869049480156</v>
      </c>
      <c r="P25" s="52" t="n">
        <f aca="false">P22+P23-P24</f>
        <v>127.869049480156</v>
      </c>
      <c r="Q25" s="52" t="n">
        <f aca="false">Q22+Q23-Q24</f>
        <v>127.869049480156</v>
      </c>
      <c r="R25" s="52" t="n">
        <f aca="false">R22+R23-R24</f>
        <v>127.869049480156</v>
      </c>
      <c r="S25" s="52" t="n">
        <f aca="false">S22+S23-S24</f>
        <v>127.414515551536</v>
      </c>
      <c r="T25" s="52" t="n">
        <f aca="false">T22+T23-T24</f>
        <v>125.503297818264</v>
      </c>
      <c r="U25" s="52" t="n">
        <f aca="false">U22+U23-U24</f>
        <v>123.620748350986</v>
      </c>
      <c r="V25" s="52" t="n">
        <f aca="false">V22+V23-V24</f>
        <v>121.76643712572</v>
      </c>
      <c r="W25" s="52" t="n">
        <f aca="false">W22+W23-W24</f>
        <v>119.939940568838</v>
      </c>
      <c r="X25" s="52" t="n">
        <f aca="false">X22+X23-X24</f>
        <v>118.140841460307</v>
      </c>
      <c r="Y25" s="52" t="n">
        <f aca="false">Y22+Y23-Y24</f>
        <v>116.36872883841</v>
      </c>
      <c r="Z25" s="52" t="n">
        <f aca="false">Z22+Z23-Z24</f>
        <v>114.623197905821</v>
      </c>
      <c r="AA25" s="52" t="n">
        <f aca="false">AA22+AA23-AA24</f>
        <v>112.903849937225</v>
      </c>
      <c r="AB25" s="52" t="n">
        <f aca="false">AB22+AB23-AB24</f>
        <v>111.210292188174</v>
      </c>
      <c r="AC25" s="52" t="n">
        <f aca="false">AC22+AC23-AC24</f>
        <v>109.542137805358</v>
      </c>
      <c r="AD25" s="52" t="n">
        <f aca="false">AD22+AD23-AD24</f>
        <v>107.899005738276</v>
      </c>
      <c r="AE25" s="52" t="n">
        <f aca="false">AE22+AE23-AE24</f>
        <v>106.280520652203</v>
      </c>
      <c r="AF25" s="52" t="n">
        <f aca="false">AF22+AF23-AF24</f>
        <v>104.686312842416</v>
      </c>
      <c r="AG25" s="52" t="n">
        <f aca="false">AG22+AG23-AG24</f>
        <v>103.116018149798</v>
      </c>
      <c r="AH25" s="52" t="n">
        <f aca="false">AH22+AH23-AH24</f>
        <v>101.569277877526</v>
      </c>
    </row>
    <row r="26" customFormat="false" ht="15" hidden="false" customHeight="true" outlineLevel="0" collapsed="false">
      <c r="A26" s="33" t="s">
        <v>1410</v>
      </c>
      <c r="D26" s="52" t="n">
        <f aca="false">D$4*MAX(0,D25)</f>
        <v>0</v>
      </c>
      <c r="E26" s="52" t="n">
        <f aca="false">E$4*MAX(0,E25)</f>
        <v>0</v>
      </c>
      <c r="F26" s="52" t="n">
        <f aca="false">F$4*MAX(0,F25)</f>
        <v>0</v>
      </c>
      <c r="G26" s="52" t="n">
        <f aca="false">G$4*MAX(0,G25)</f>
        <v>0</v>
      </c>
      <c r="H26" s="52" t="n">
        <f aca="false">H$4*MAX(0,H25)</f>
        <v>0</v>
      </c>
      <c r="I26" s="52" t="n">
        <f aca="false">I$4*MAX(0,I25)</f>
        <v>0</v>
      </c>
      <c r="J26" s="52" t="n">
        <f aca="false">J$4*MAX(0,J25)</f>
        <v>0</v>
      </c>
      <c r="K26" s="52" t="n">
        <f aca="false">K$4*MAX(0,K25)</f>
        <v>0</v>
      </c>
      <c r="L26" s="52" t="n">
        <f aca="false">L$4*MAX(0,L25)</f>
        <v>0</v>
      </c>
      <c r="M26" s="52" t="n">
        <f aca="false">M$4*MAX(0,M25)</f>
        <v>0</v>
      </c>
      <c r="N26" s="52" t="n">
        <f aca="false">N$4*MAX(0,N25)</f>
        <v>0</v>
      </c>
      <c r="O26" s="52" t="n">
        <f aca="false">O$4*MAX(0,O25)</f>
        <v>21.0983931642257</v>
      </c>
      <c r="P26" s="52" t="n">
        <f aca="false">P$4*MAX(0,P25)</f>
        <v>21.0983931642257</v>
      </c>
      <c r="Q26" s="52" t="n">
        <f aca="false">Q$4*MAX(0,Q25)</f>
        <v>21.0983931642257</v>
      </c>
      <c r="R26" s="52" t="n">
        <f aca="false">R$4*MAX(0,R25)</f>
        <v>21.0983931642257</v>
      </c>
      <c r="S26" s="52" t="n">
        <f aca="false">S$4*MAX(0,S25)</f>
        <v>21.0233950660035</v>
      </c>
      <c r="T26" s="52" t="n">
        <f aca="false">T$4*MAX(0,T25)</f>
        <v>20.7080441400136</v>
      </c>
      <c r="U26" s="52" t="n">
        <f aca="false">U$4*MAX(0,U25)</f>
        <v>20.3974234779127</v>
      </c>
      <c r="V26" s="52" t="n">
        <f aca="false">V$4*MAX(0,V25)</f>
        <v>20.0914621257437</v>
      </c>
      <c r="W26" s="52" t="n">
        <f aca="false">W$4*MAX(0,W25)</f>
        <v>19.7900901938583</v>
      </c>
      <c r="X26" s="52" t="n">
        <f aca="false">X$4*MAX(0,X25)</f>
        <v>19.4932388409506</v>
      </c>
      <c r="Y26" s="52" t="n">
        <f aca="false">Y$4*MAX(0,Y25)</f>
        <v>19.2008402583376</v>
      </c>
      <c r="Z26" s="52" t="n">
        <f aca="false">Z$4*MAX(0,Z25)</f>
        <v>18.9128276544605</v>
      </c>
      <c r="AA26" s="52" t="n">
        <f aca="false">AA$4*MAX(0,AA25)</f>
        <v>18.6291352396422</v>
      </c>
      <c r="AB26" s="52" t="n">
        <f aca="false">AB$4*MAX(0,AB25)</f>
        <v>18.3496982110487</v>
      </c>
      <c r="AC26" s="52" t="n">
        <f aca="false">AC$4*MAX(0,AC25)</f>
        <v>18.0744527378841</v>
      </c>
      <c r="AD26" s="52" t="n">
        <f aca="false">AD$4*MAX(0,AD25)</f>
        <v>17.8033359468156</v>
      </c>
      <c r="AE26" s="52" t="n">
        <f aca="false">AE$4*MAX(0,AE25)</f>
        <v>17.5362859076134</v>
      </c>
      <c r="AF26" s="52" t="n">
        <f aca="false">AF$4*MAX(0,AF25)</f>
        <v>17.2732416189986</v>
      </c>
      <c r="AG26" s="52" t="n">
        <f aca="false">AG$4*MAX(0,AG25)</f>
        <v>17.0141429947167</v>
      </c>
      <c r="AH26" s="52" t="n">
        <f aca="false">AH$4*MAX(0,AH25)</f>
        <v>16.7589308497919</v>
      </c>
    </row>
    <row r="27" customFormat="false" ht="15" hidden="false" customHeight="true" outlineLevel="0" collapsed="false">
      <c r="A27" s="33" t="s">
        <v>1411</v>
      </c>
      <c r="C27" s="55" t="n">
        <f aca="false">SUMPRODUCT(D27:AH27,D$5:AH$5)</f>
        <v>-31252.9247873509</v>
      </c>
      <c r="D27" s="55" t="n">
        <f aca="false">(D25-D21-D26)*D20</f>
        <v>-20000</v>
      </c>
      <c r="E27" s="55" t="n">
        <f aca="false">(E25-E21-E26)*E20</f>
        <v>127.869049480156</v>
      </c>
      <c r="F27" s="55" t="n">
        <f aca="false">(F25-F21-F26)*F20</f>
        <v>127.869049480156</v>
      </c>
      <c r="G27" s="55" t="n">
        <f aca="false">(G25-G21-G26)*G20</f>
        <v>127.869049480156</v>
      </c>
      <c r="H27" s="55" t="n">
        <f aca="false">(H25-H21-H26)*H20</f>
        <v>127.869049480156</v>
      </c>
      <c r="I27" s="55" t="n">
        <f aca="false">(I25-I21-I26)*I20</f>
        <v>127.869049480156</v>
      </c>
      <c r="J27" s="55" t="n">
        <f aca="false">(J25-J21-J26)*J20</f>
        <v>127.869049480156</v>
      </c>
      <c r="K27" s="55" t="n">
        <f aca="false">(K25-K21-K26)*K20</f>
        <v>-19872.1309505198</v>
      </c>
      <c r="L27" s="55" t="n">
        <f aca="false">(L25-L21-L26)*L20</f>
        <v>127.869049480156</v>
      </c>
      <c r="M27" s="55" t="n">
        <f aca="false">(M25-M21-M26)*M20</f>
        <v>127.869049480156</v>
      </c>
      <c r="N27" s="55" t="n">
        <f aca="false">(N25-N21-N26)*N20</f>
        <v>127.869049480156</v>
      </c>
      <c r="O27" s="55" t="n">
        <f aca="false">(O25-O21-O26)*O20</f>
        <v>106.77065631593</v>
      </c>
      <c r="P27" s="55" t="n">
        <f aca="false">(P25-P21-P26)*P20</f>
        <v>106.77065631593</v>
      </c>
      <c r="Q27" s="55" t="n">
        <f aca="false">(Q25-Q21-Q26)*Q20</f>
        <v>106.77065631593</v>
      </c>
      <c r="R27" s="55" t="n">
        <f aca="false">(R25-R21-R26)*R20</f>
        <v>-19893.2293436841</v>
      </c>
      <c r="S27" s="55" t="n">
        <f aca="false">(S25-S21-S26)*S20</f>
        <v>106.391120485533</v>
      </c>
      <c r="T27" s="55" t="n">
        <f aca="false">(T25-T21-T26)*T20</f>
        <v>104.795253678251</v>
      </c>
      <c r="U27" s="55" t="n">
        <f aca="false">(U25-U21-U26)*U20</f>
        <v>103.223324873073</v>
      </c>
      <c r="V27" s="55" t="n">
        <f aca="false">(V25-V21-V26)*V20</f>
        <v>101.674974999976</v>
      </c>
      <c r="W27" s="55" t="n">
        <f aca="false">(W25-W21-W26)*W20</f>
        <v>100.14985037498</v>
      </c>
      <c r="X27" s="55" t="n">
        <f aca="false">(X25-X21-X26)*X20</f>
        <v>98.647602619356</v>
      </c>
      <c r="Y27" s="55" t="n">
        <f aca="false">(Y25-Y21-Y26)*Y20</f>
        <v>0</v>
      </c>
      <c r="Z27" s="55" t="n">
        <f aca="false">(Z25-Z21-Z26)*Z20</f>
        <v>0</v>
      </c>
      <c r="AA27" s="55" t="n">
        <f aca="false">(AA25-AA21-AA26)*AA20</f>
        <v>0</v>
      </c>
      <c r="AB27" s="55" t="n">
        <f aca="false">(AB25-AB21-AB26)*AB20</f>
        <v>0</v>
      </c>
      <c r="AC27" s="55" t="n">
        <f aca="false">(AC25-AC21-AC26)*AC20</f>
        <v>0</v>
      </c>
      <c r="AD27" s="55" t="n">
        <f aca="false">(AD25-AD21-AD26)*AD20</f>
        <v>0</v>
      </c>
      <c r="AE27" s="55" t="n">
        <f aca="false">(AE25-AE21-AE26)*AE20</f>
        <v>0</v>
      </c>
      <c r="AF27" s="55" t="n">
        <f aca="false">(AF25-AF21-AF26)*AF20</f>
        <v>0</v>
      </c>
      <c r="AG27" s="55" t="n">
        <f aca="false">(AG25-AG21-AG26)*AG20</f>
        <v>0</v>
      </c>
      <c r="AH27" s="55" t="n">
        <f aca="false">(AH25-AH21-AH26)*AH20</f>
        <v>0</v>
      </c>
    </row>
    <row r="28" customFormat="false" ht="15" hidden="false" customHeight="true" outlineLevel="0" collapsed="false">
      <c r="A28" s="33" t="s">
        <v>1412</v>
      </c>
      <c r="C28" s="46" t="n">
        <f aca="false">SUMPRODUCT(D28:AH28,D$5:AH$5)</f>
        <v>60381.954664407</v>
      </c>
      <c r="D28" s="52" t="n">
        <f aca="false">(IF(D$3=0,0,in_A08*in_A04*in_A02*in_A12+c_wax*in_A05))*D20</f>
        <v>0</v>
      </c>
      <c r="E28" s="52" t="n">
        <f aca="false">(IF(E$3=0,0,in_A08*in_A04*in_A02*in_A12+c_wax*in_A05))*E20</f>
        <v>8595.6</v>
      </c>
      <c r="F28" s="52" t="n">
        <f aca="false">(IF(F$3=0,0,in_A08*in_A04*in_A02*in_A12+c_wax*in_A05))*F20</f>
        <v>8595.6</v>
      </c>
      <c r="G28" s="52" t="n">
        <f aca="false">(IF(G$3=0,0,in_A08*in_A04*in_A02*in_A12+c_wax*in_A05))*G20</f>
        <v>8595.6</v>
      </c>
      <c r="H28" s="52" t="n">
        <f aca="false">(IF(H$3=0,0,in_A08*in_A04*in_A02*in_A12+c_wax*in_A05))*H20</f>
        <v>8595.6</v>
      </c>
      <c r="I28" s="52" t="n">
        <f aca="false">(IF(I$3=0,0,in_A08*in_A04*in_A02*in_A12+c_wax*in_A05))*I20</f>
        <v>8595.6</v>
      </c>
      <c r="J28" s="52" t="n">
        <f aca="false">(IF(J$3=0,0,in_A08*in_A04*in_A02*in_A12+c_wax*in_A05))*J20</f>
        <v>8595.6</v>
      </c>
      <c r="K28" s="52" t="n">
        <f aca="false">(IF(K$3=0,0,in_A08*in_A04*in_A02*in_A12+c_wax*in_A05))*K20</f>
        <v>8595.6</v>
      </c>
      <c r="L28" s="52" t="n">
        <f aca="false">(IF(L$3=0,0,in_A08*in_A04*in_A02*in_A12+c_wax*in_A05))*L20</f>
        <v>8595.6</v>
      </c>
      <c r="M28" s="52" t="n">
        <f aca="false">(IF(M$3=0,0,in_A08*in_A04*in_A02*in_A12+c_wax*in_A05))*M20</f>
        <v>8595.6</v>
      </c>
      <c r="N28" s="52" t="n">
        <f aca="false">(IF(N$3=0,0,in_A08*in_A04*in_A02*in_A12+c_wax*in_A05))*N20</f>
        <v>8595.6</v>
      </c>
      <c r="O28" s="52" t="n">
        <f aca="false">(IF(O$3=0,0,in_A08*in_A04*in_A02*in_A12+c_wax*in_A05))*O20</f>
        <v>8595.6</v>
      </c>
      <c r="P28" s="52" t="n">
        <f aca="false">(IF(P$3=0,0,in_A08*in_A04*in_A02*in_A12+c_wax*in_A05))*P20</f>
        <v>8595.6</v>
      </c>
      <c r="Q28" s="52" t="n">
        <f aca="false">(IF(Q$3=0,0,in_A08*in_A04*in_A02*in_A12+c_wax*in_A05))*Q20</f>
        <v>8595.6</v>
      </c>
      <c r="R28" s="52" t="n">
        <f aca="false">(IF(R$3=0,0,in_A08*in_A04*in_A02*in_A12+c_wax*in_A05))*R20</f>
        <v>8595.6</v>
      </c>
      <c r="S28" s="52" t="n">
        <f aca="false">(IF(S$3=0,0,in_A08*in_A04*in_A02*in_A12+c_wax*in_A05))*S20</f>
        <v>8595.6</v>
      </c>
      <c r="T28" s="52" t="n">
        <f aca="false">(IF(T$3=0,0,in_A08*in_A04*in_A02*in_A12+c_wax*in_A05))*T20</f>
        <v>8595.6</v>
      </c>
      <c r="U28" s="52" t="n">
        <f aca="false">(IF(U$3=0,0,in_A08*in_A04*in_A02*in_A12+c_wax*in_A05))*U20</f>
        <v>8595.6</v>
      </c>
      <c r="V28" s="52" t="n">
        <f aca="false">(IF(V$3=0,0,in_A08*in_A04*in_A02*in_A12+c_wax*in_A05))*V20</f>
        <v>8595.6</v>
      </c>
      <c r="W28" s="52" t="n">
        <f aca="false">(IF(W$3=0,0,in_A08*in_A04*in_A02*in_A12+c_wax*in_A05))*W20</f>
        <v>8595.6</v>
      </c>
      <c r="X28" s="52" t="n">
        <f aca="false">(IF(X$3=0,0,in_A08*in_A04*in_A02*in_A12+c_wax*in_A05))*X20</f>
        <v>8595.6</v>
      </c>
      <c r="Y28" s="52" t="n">
        <f aca="false">(IF(Y$3=0,0,in_A08*in_A04*in_A02*in_A12+c_wax*in_A05))*Y20</f>
        <v>0</v>
      </c>
      <c r="Z28" s="52" t="n">
        <f aca="false">(IF(Z$3=0,0,in_A08*in_A04*in_A02*in_A12+c_wax*in_A05))*Z20</f>
        <v>0</v>
      </c>
      <c r="AA28" s="52" t="n">
        <f aca="false">(IF(AA$3=0,0,in_A08*in_A04*in_A02*in_A12+c_wax*in_A05))*AA20</f>
        <v>0</v>
      </c>
      <c r="AB28" s="52" t="n">
        <f aca="false">(IF(AB$3=0,0,in_A08*in_A04*in_A02*in_A12+c_wax*in_A05))*AB20</f>
        <v>0</v>
      </c>
      <c r="AC28" s="52" t="n">
        <f aca="false">(IF(AC$3=0,0,in_A08*in_A04*in_A02*in_A12+c_wax*in_A05))*AC20</f>
        <v>0</v>
      </c>
      <c r="AD28" s="52" t="n">
        <f aca="false">(IF(AD$3=0,0,in_A08*in_A04*in_A02*in_A12+c_wax*in_A05))*AD20</f>
        <v>0</v>
      </c>
      <c r="AE28" s="52" t="n">
        <f aca="false">(IF(AE$3=0,0,in_A08*in_A04*in_A02*in_A12+c_wax*in_A05))*AE20</f>
        <v>0</v>
      </c>
      <c r="AF28" s="52" t="n">
        <f aca="false">(IF(AF$3=0,0,in_A08*in_A04*in_A02*in_A12+c_wax*in_A05))*AF20</f>
        <v>0</v>
      </c>
      <c r="AG28" s="52" t="n">
        <f aca="false">(IF(AG$3=0,0,in_A08*in_A04*in_A02*in_A12+c_wax*in_A05))*AG20</f>
        <v>0</v>
      </c>
      <c r="AH28" s="52" t="n">
        <f aca="false">(IF(AH$3=0,0,in_A08*in_A04*in_A02*in_A12+c_wax*in_A05))*AH20</f>
        <v>0</v>
      </c>
    </row>
    <row r="29" customFormat="false" ht="15" hidden="false" customHeight="true" outlineLevel="0" collapsed="false">
      <c r="A29" s="33" t="s">
        <v>1413</v>
      </c>
      <c r="C29" s="46" t="n">
        <f aca="false">SUMPRODUCT(D29:AH29,D$5:AH$5)</f>
        <v>895.010882094759</v>
      </c>
      <c r="D29" s="52" t="n">
        <f aca="false">D22*D20</f>
        <v>0</v>
      </c>
      <c r="E29" s="52" t="n">
        <f aca="false">E22*E20</f>
        <v>127.869049480156</v>
      </c>
      <c r="F29" s="52" t="n">
        <f aca="false">F22*F20</f>
        <v>127.869049480156</v>
      </c>
      <c r="G29" s="52" t="n">
        <f aca="false">G22*G20</f>
        <v>127.869049480156</v>
      </c>
      <c r="H29" s="52" t="n">
        <f aca="false">H22*H20</f>
        <v>127.869049480156</v>
      </c>
      <c r="I29" s="52" t="n">
        <f aca="false">I22*I20</f>
        <v>127.869049480156</v>
      </c>
      <c r="J29" s="52" t="n">
        <f aca="false">J22*J20</f>
        <v>127.869049480156</v>
      </c>
      <c r="K29" s="52" t="n">
        <f aca="false">K22*K20</f>
        <v>127.869049480156</v>
      </c>
      <c r="L29" s="52" t="n">
        <f aca="false">L22*L20</f>
        <v>127.869049480156</v>
      </c>
      <c r="M29" s="52" t="n">
        <f aca="false">M22*M20</f>
        <v>127.869049480156</v>
      </c>
      <c r="N29" s="52" t="n">
        <f aca="false">N22*N20</f>
        <v>127.869049480156</v>
      </c>
      <c r="O29" s="52" t="n">
        <f aca="false">O22*O20</f>
        <v>127.869049480156</v>
      </c>
      <c r="P29" s="52" t="n">
        <f aca="false">P22*P20</f>
        <v>127.869049480156</v>
      </c>
      <c r="Q29" s="52" t="n">
        <f aca="false">Q22*Q20</f>
        <v>127.869049480156</v>
      </c>
      <c r="R29" s="52" t="n">
        <f aca="false">R22*R20</f>
        <v>127.869049480156</v>
      </c>
      <c r="S29" s="52" t="n">
        <f aca="false">S22*S20</f>
        <v>127.414515551536</v>
      </c>
      <c r="T29" s="52" t="n">
        <f aca="false">T22*T20</f>
        <v>125.503297818264</v>
      </c>
      <c r="U29" s="52" t="n">
        <f aca="false">U22*U20</f>
        <v>123.620748350986</v>
      </c>
      <c r="V29" s="52" t="n">
        <f aca="false">V22*V20</f>
        <v>121.76643712572</v>
      </c>
      <c r="W29" s="52" t="n">
        <f aca="false">W22*W20</f>
        <v>119.939940568838</v>
      </c>
      <c r="X29" s="52" t="n">
        <f aca="false">X22*X20</f>
        <v>118.140841460307</v>
      </c>
      <c r="Y29" s="52" t="n">
        <f aca="false">Y22*Y20</f>
        <v>0</v>
      </c>
      <c r="Z29" s="52" t="n">
        <f aca="false">Z22*Z20</f>
        <v>0</v>
      </c>
      <c r="AA29" s="52" t="n">
        <f aca="false">AA22*AA20</f>
        <v>0</v>
      </c>
      <c r="AB29" s="52" t="n">
        <f aca="false">AB22*AB20</f>
        <v>0</v>
      </c>
      <c r="AC29" s="52" t="n">
        <f aca="false">AC22*AC20</f>
        <v>0</v>
      </c>
      <c r="AD29" s="52" t="n">
        <f aca="false">AD22*AD20</f>
        <v>0</v>
      </c>
      <c r="AE29" s="52" t="n">
        <f aca="false">AE22*AE20</f>
        <v>0</v>
      </c>
      <c r="AF29" s="52" t="n">
        <f aca="false">AF22*AF20</f>
        <v>0</v>
      </c>
      <c r="AG29" s="52" t="n">
        <f aca="false">AG22*AG20</f>
        <v>0</v>
      </c>
      <c r="AH29" s="52" t="n">
        <f aca="false">AH22*AH20</f>
        <v>0</v>
      </c>
    </row>
    <row r="31" customFormat="false" ht="15" hidden="false" customHeight="true" outlineLevel="0" collapsed="false">
      <c r="A31" s="53" t="s">
        <v>1414</v>
      </c>
      <c r="B31" s="58" t="s">
        <v>1403</v>
      </c>
      <c r="C31" s="59" t="n">
        <f aca="false">in_G02b</f>
        <v>30</v>
      </c>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row>
    <row r="32" customFormat="false" ht="15" hidden="false" customHeight="true" outlineLevel="0" collapsed="false">
      <c r="A32" s="33" t="s">
        <v>1404</v>
      </c>
      <c r="D32" s="61" t="n">
        <f aca="false">IF(D$3&lt;=in_G02b,1,0)</f>
        <v>1</v>
      </c>
      <c r="E32" s="61" t="n">
        <f aca="false">IF(E$3&lt;=in_G02b,1,0)</f>
        <v>1</v>
      </c>
      <c r="F32" s="61" t="n">
        <f aca="false">IF(F$3&lt;=in_G02b,1,0)</f>
        <v>1</v>
      </c>
      <c r="G32" s="61" t="n">
        <f aca="false">IF(G$3&lt;=in_G02b,1,0)</f>
        <v>1</v>
      </c>
      <c r="H32" s="61" t="n">
        <f aca="false">IF(H$3&lt;=in_G02b,1,0)</f>
        <v>1</v>
      </c>
      <c r="I32" s="61" t="n">
        <f aca="false">IF(I$3&lt;=in_G02b,1,0)</f>
        <v>1</v>
      </c>
      <c r="J32" s="61" t="n">
        <f aca="false">IF(J$3&lt;=in_G02b,1,0)</f>
        <v>1</v>
      </c>
      <c r="K32" s="61" t="n">
        <f aca="false">IF(K$3&lt;=in_G02b,1,0)</f>
        <v>1</v>
      </c>
      <c r="L32" s="61" t="n">
        <f aca="false">IF(L$3&lt;=in_G02b,1,0)</f>
        <v>1</v>
      </c>
      <c r="M32" s="61" t="n">
        <f aca="false">IF(M$3&lt;=in_G02b,1,0)</f>
        <v>1</v>
      </c>
      <c r="N32" s="61" t="n">
        <f aca="false">IF(N$3&lt;=in_G02b,1,0)</f>
        <v>1</v>
      </c>
      <c r="O32" s="61" t="n">
        <f aca="false">IF(O$3&lt;=in_G02b,1,0)</f>
        <v>1</v>
      </c>
      <c r="P32" s="61" t="n">
        <f aca="false">IF(P$3&lt;=in_G02b,1,0)</f>
        <v>1</v>
      </c>
      <c r="Q32" s="61" t="n">
        <f aca="false">IF(Q$3&lt;=in_G02b,1,0)</f>
        <v>1</v>
      </c>
      <c r="R32" s="61" t="n">
        <f aca="false">IF(R$3&lt;=in_G02b,1,0)</f>
        <v>1</v>
      </c>
      <c r="S32" s="61" t="n">
        <f aca="false">IF(S$3&lt;=in_G02b,1,0)</f>
        <v>1</v>
      </c>
      <c r="T32" s="61" t="n">
        <f aca="false">IF(T$3&lt;=in_G02b,1,0)</f>
        <v>1</v>
      </c>
      <c r="U32" s="61" t="n">
        <f aca="false">IF(U$3&lt;=in_G02b,1,0)</f>
        <v>1</v>
      </c>
      <c r="V32" s="61" t="n">
        <f aca="false">IF(V$3&lt;=in_G02b,1,0)</f>
        <v>1</v>
      </c>
      <c r="W32" s="61" t="n">
        <f aca="false">IF(W$3&lt;=in_G02b,1,0)</f>
        <v>1</v>
      </c>
      <c r="X32" s="61" t="n">
        <f aca="false">IF(X$3&lt;=in_G02b,1,0)</f>
        <v>1</v>
      </c>
      <c r="Y32" s="61" t="n">
        <f aca="false">IF(Y$3&lt;=in_G02b,1,0)</f>
        <v>1</v>
      </c>
      <c r="Z32" s="61" t="n">
        <f aca="false">IF(Z$3&lt;=in_G02b,1,0)</f>
        <v>1</v>
      </c>
      <c r="AA32" s="61" t="n">
        <f aca="false">IF(AA$3&lt;=in_G02b,1,0)</f>
        <v>1</v>
      </c>
      <c r="AB32" s="61" t="n">
        <f aca="false">IF(AB$3&lt;=in_G02b,1,0)</f>
        <v>1</v>
      </c>
      <c r="AC32" s="61" t="n">
        <f aca="false">IF(AC$3&lt;=in_G02b,1,0)</f>
        <v>1</v>
      </c>
      <c r="AD32" s="61" t="n">
        <f aca="false">IF(AD$3&lt;=in_G02b,1,0)</f>
        <v>1</v>
      </c>
      <c r="AE32" s="61" t="n">
        <f aca="false">IF(AE$3&lt;=in_G02b,1,0)</f>
        <v>1</v>
      </c>
      <c r="AF32" s="61" t="n">
        <f aca="false">IF(AF$3&lt;=in_G02b,1,0)</f>
        <v>1</v>
      </c>
      <c r="AG32" s="61" t="n">
        <f aca="false">IF(AG$3&lt;=in_G02b,1,0)</f>
        <v>1</v>
      </c>
      <c r="AH32" s="61" t="n">
        <f aca="false">IF(AH$3&lt;=in_G02b,1,0)</f>
        <v>1</v>
      </c>
    </row>
    <row r="33" customFormat="false" ht="15" hidden="false" customHeight="true" outlineLevel="0" collapsed="false">
      <c r="A33" s="33" t="s">
        <v>1405</v>
      </c>
      <c r="C33" s="46" t="n">
        <f aca="false">SUMPRODUCT(D33:AH33,D$5:AH$5)</f>
        <v>49410.085231309</v>
      </c>
      <c r="D33" s="52" t="n">
        <f aca="false">(IF(D$3=0,in_R07*in_R01,0)+IF(D$3&lt;=in_R10,c_regen_ha*in_R02/(in_R10+1),0))*(1-in_P02)</f>
        <v>28750</v>
      </c>
      <c r="E33" s="52" t="n">
        <f aca="false">(IF(E$3=0,in_R07*in_R01,0)+IF(E$3&lt;=in_R10,c_regen_ha*in_R02/(in_R10+1),0))*(1-in_P02)</f>
        <v>8750</v>
      </c>
      <c r="F33" s="52" t="n">
        <f aca="false">(IF(F$3=0,in_R07*in_R01,0)+IF(F$3&lt;=in_R10,c_regen_ha*in_R02/(in_R10+1),0))*(1-in_P02)</f>
        <v>8750</v>
      </c>
      <c r="G33" s="52" t="n">
        <f aca="false">(IF(G$3=0,in_R07*in_R01,0)+IF(G$3&lt;=in_R10,c_regen_ha*in_R02/(in_R10+1),0))*(1-in_P02)</f>
        <v>8750</v>
      </c>
      <c r="H33" s="52" t="n">
        <f aca="false">(IF(H$3=0,in_R07*in_R01,0)+IF(H$3&lt;=in_R10,c_regen_ha*in_R02/(in_R10+1),0))*(1-in_P02)</f>
        <v>0</v>
      </c>
      <c r="I33" s="52" t="n">
        <f aca="false">(IF(I$3=0,in_R07*in_R01,0)+IF(I$3&lt;=in_R10,c_regen_ha*in_R02/(in_R10+1),0))*(1-in_P02)</f>
        <v>0</v>
      </c>
      <c r="J33" s="52" t="n">
        <f aca="false">(IF(J$3=0,in_R07*in_R01,0)+IF(J$3&lt;=in_R10,c_regen_ha*in_R02/(in_R10+1),0))*(1-in_P02)</f>
        <v>0</v>
      </c>
      <c r="K33" s="52" t="n">
        <f aca="false">(IF(K$3=0,in_R07*in_R01,0)+IF(K$3&lt;=in_R10,c_regen_ha*in_R02/(in_R10+1),0))*(1-in_P02)</f>
        <v>0</v>
      </c>
      <c r="L33" s="52" t="n">
        <f aca="false">(IF(L$3=0,in_R07*in_R01,0)+IF(L$3&lt;=in_R10,c_regen_ha*in_R02/(in_R10+1),0))*(1-in_P02)</f>
        <v>0</v>
      </c>
      <c r="M33" s="52" t="n">
        <f aca="false">(IF(M$3=0,in_R07*in_R01,0)+IF(M$3&lt;=in_R10,c_regen_ha*in_R02/(in_R10+1),0))*(1-in_P02)</f>
        <v>0</v>
      </c>
      <c r="N33" s="52" t="n">
        <f aca="false">(IF(N$3=0,in_R07*in_R01,0)+IF(N$3&lt;=in_R10,c_regen_ha*in_R02/(in_R10+1),0))*(1-in_P02)</f>
        <v>0</v>
      </c>
      <c r="O33" s="52" t="n">
        <f aca="false">(IF(O$3=0,in_R07*in_R01,0)+IF(O$3&lt;=in_R10,c_regen_ha*in_R02/(in_R10+1),0))*(1-in_P02)</f>
        <v>0</v>
      </c>
      <c r="P33" s="52" t="n">
        <f aca="false">(IF(P$3=0,in_R07*in_R01,0)+IF(P$3&lt;=in_R10,c_regen_ha*in_R02/(in_R10+1),0))*(1-in_P02)</f>
        <v>0</v>
      </c>
      <c r="Q33" s="52" t="n">
        <f aca="false">(IF(Q$3=0,in_R07*in_R01,0)+IF(Q$3&lt;=in_R10,c_regen_ha*in_R02/(in_R10+1),0))*(1-in_P02)</f>
        <v>0</v>
      </c>
      <c r="R33" s="52" t="n">
        <f aca="false">(IF(R$3=0,in_R07*in_R01,0)+IF(R$3&lt;=in_R10,c_regen_ha*in_R02/(in_R10+1),0))*(1-in_P02)</f>
        <v>0</v>
      </c>
      <c r="S33" s="52" t="n">
        <f aca="false">(IF(S$3=0,in_R07*in_R01,0)+IF(S$3&lt;=in_R10,c_regen_ha*in_R02/(in_R10+1),0))*(1-in_P02)</f>
        <v>0</v>
      </c>
      <c r="T33" s="52" t="n">
        <f aca="false">(IF(T$3=0,in_R07*in_R01,0)+IF(T$3&lt;=in_R10,c_regen_ha*in_R02/(in_R10+1),0))*(1-in_P02)</f>
        <v>0</v>
      </c>
      <c r="U33" s="52" t="n">
        <f aca="false">(IF(U$3=0,in_R07*in_R01,0)+IF(U$3&lt;=in_R10,c_regen_ha*in_R02/(in_R10+1),0))*(1-in_P02)</f>
        <v>0</v>
      </c>
      <c r="V33" s="52" t="n">
        <f aca="false">(IF(V$3=0,in_R07*in_R01,0)+IF(V$3&lt;=in_R10,c_regen_ha*in_R02/(in_R10+1),0))*(1-in_P02)</f>
        <v>0</v>
      </c>
      <c r="W33" s="52" t="n">
        <f aca="false">(IF(W$3=0,in_R07*in_R01,0)+IF(W$3&lt;=in_R10,c_regen_ha*in_R02/(in_R10+1),0))*(1-in_P02)</f>
        <v>0</v>
      </c>
      <c r="X33" s="52" t="n">
        <f aca="false">(IF(X$3=0,in_R07*in_R01,0)+IF(X$3&lt;=in_R10,c_regen_ha*in_R02/(in_R10+1),0))*(1-in_P02)</f>
        <v>0</v>
      </c>
      <c r="Y33" s="52" t="n">
        <f aca="false">(IF(Y$3=0,in_R07*in_R01,0)+IF(Y$3&lt;=in_R10,c_regen_ha*in_R02/(in_R10+1),0))*(1-in_P02)</f>
        <v>0</v>
      </c>
      <c r="Z33" s="52" t="n">
        <f aca="false">(IF(Z$3=0,in_R07*in_R01,0)+IF(Z$3&lt;=in_R10,c_regen_ha*in_R02/(in_R10+1),0))*(1-in_P02)</f>
        <v>0</v>
      </c>
      <c r="AA33" s="52" t="n">
        <f aca="false">(IF(AA$3=0,in_R07*in_R01,0)+IF(AA$3&lt;=in_R10,c_regen_ha*in_R02/(in_R10+1),0))*(1-in_P02)</f>
        <v>0</v>
      </c>
      <c r="AB33" s="52" t="n">
        <f aca="false">(IF(AB$3=0,in_R07*in_R01,0)+IF(AB$3&lt;=in_R10,c_regen_ha*in_R02/(in_R10+1),0))*(1-in_P02)</f>
        <v>0</v>
      </c>
      <c r="AC33" s="52" t="n">
        <f aca="false">(IF(AC$3=0,in_R07*in_R01,0)+IF(AC$3&lt;=in_R10,c_regen_ha*in_R02/(in_R10+1),0))*(1-in_P02)</f>
        <v>0</v>
      </c>
      <c r="AD33" s="52" t="n">
        <f aca="false">(IF(AD$3=0,in_R07*in_R01,0)+IF(AD$3&lt;=in_R10,c_regen_ha*in_R02/(in_R10+1),0))*(1-in_P02)</f>
        <v>0</v>
      </c>
      <c r="AE33" s="52" t="n">
        <f aca="false">(IF(AE$3=0,in_R07*in_R01,0)+IF(AE$3&lt;=in_R10,c_regen_ha*in_R02/(in_R10+1),0))*(1-in_P02)</f>
        <v>0</v>
      </c>
      <c r="AF33" s="52" t="n">
        <f aca="false">(IF(AF$3=0,in_R07*in_R01,0)+IF(AF$3&lt;=in_R10,c_regen_ha*in_R02/(in_R10+1),0))*(1-in_P02)</f>
        <v>0</v>
      </c>
      <c r="AG33" s="52" t="n">
        <f aca="false">(IF(AG$3=0,in_R07*in_R01,0)+IF(AG$3&lt;=in_R10,c_regen_ha*in_R02/(in_R10+1),0))*(1-in_P02)</f>
        <v>0</v>
      </c>
      <c r="AH33" s="52" t="n">
        <f aca="false">(IF(AH$3=0,in_R07*in_R01,0)+IF(AH$3&lt;=in_R10,c_regen_ha*in_R02/(in_R10+1),0))*(1-in_P02)</f>
        <v>0</v>
      </c>
    </row>
    <row r="34" customFormat="false" ht="15" hidden="false" customHeight="true" outlineLevel="0" collapsed="false">
      <c r="A34" s="33" t="s">
        <v>1406</v>
      </c>
      <c r="D34" s="52" t="n">
        <f aca="false">Supply!D29</f>
        <v>0</v>
      </c>
      <c r="E34" s="52" t="n">
        <f aca="false">Supply!E29</f>
        <v>0</v>
      </c>
      <c r="F34" s="52" t="n">
        <f aca="false">Supply!F29</f>
        <v>0</v>
      </c>
      <c r="G34" s="52" t="n">
        <f aca="false">Supply!G29</f>
        <v>0</v>
      </c>
      <c r="H34" s="52" t="n">
        <f aca="false">Supply!H29</f>
        <v>0</v>
      </c>
      <c r="I34" s="52" t="n">
        <f aca="false">Supply!I29</f>
        <v>0</v>
      </c>
      <c r="J34" s="52" t="n">
        <f aca="false">Supply!J29</f>
        <v>0</v>
      </c>
      <c r="K34" s="52" t="n">
        <f aca="false">Supply!K29</f>
        <v>0</v>
      </c>
      <c r="L34" s="52" t="n">
        <f aca="false">Supply!L29</f>
        <v>0</v>
      </c>
      <c r="M34" s="52" t="n">
        <f aca="false">Supply!M29</f>
        <v>0</v>
      </c>
      <c r="N34" s="52" t="n">
        <f aca="false">Supply!N29</f>
        <v>0</v>
      </c>
      <c r="O34" s="52" t="n">
        <f aca="false">Supply!O29</f>
        <v>0</v>
      </c>
      <c r="P34" s="52" t="n">
        <f aca="false">Supply!P29</f>
        <v>0</v>
      </c>
      <c r="Q34" s="52" t="n">
        <f aca="false">Supply!Q29</f>
        <v>0</v>
      </c>
      <c r="R34" s="52" t="n">
        <f aca="false">Supply!R29</f>
        <v>0</v>
      </c>
      <c r="S34" s="52" t="n">
        <f aca="false">Supply!S29</f>
        <v>1317.92998205423</v>
      </c>
      <c r="T34" s="52" t="n">
        <f aca="false">Supply!T29</f>
        <v>4389.78419599117</v>
      </c>
      <c r="U34" s="52" t="n">
        <f aca="false">Supply!U29</f>
        <v>4389.78419599117</v>
      </c>
      <c r="V34" s="52" t="n">
        <f aca="false">Supply!V29</f>
        <v>4389.78419599116</v>
      </c>
      <c r="W34" s="52" t="n">
        <f aca="false">Supply!W29</f>
        <v>4389.78419599117</v>
      </c>
      <c r="X34" s="52" t="n">
        <f aca="false">Supply!X29</f>
        <v>4389.78419599117</v>
      </c>
      <c r="Y34" s="52" t="n">
        <f aca="false">Supply!Y29</f>
        <v>4389.78419599118</v>
      </c>
      <c r="Z34" s="52" t="n">
        <f aca="false">Supply!Z29</f>
        <v>4389.78419599116</v>
      </c>
      <c r="AA34" s="52" t="n">
        <f aca="false">Supply!AA29</f>
        <v>4389.78419599116</v>
      </c>
      <c r="AB34" s="52" t="n">
        <f aca="false">Supply!AB29</f>
        <v>4389.78419599118</v>
      </c>
      <c r="AC34" s="52" t="n">
        <f aca="false">Supply!AC29</f>
        <v>4389.78419599116</v>
      </c>
      <c r="AD34" s="52" t="n">
        <f aca="false">Supply!AD29</f>
        <v>4389.78419599116</v>
      </c>
      <c r="AE34" s="52" t="n">
        <f aca="false">Supply!AE29</f>
        <v>4389.78419599116</v>
      </c>
      <c r="AF34" s="52" t="n">
        <f aca="false">Supply!AF29</f>
        <v>4389.78419599116</v>
      </c>
      <c r="AG34" s="52" t="n">
        <f aca="false">Supply!AG29</f>
        <v>4389.78419599116</v>
      </c>
      <c r="AH34" s="52" t="n">
        <f aca="false">Supply!AH29</f>
        <v>4389.78419599116</v>
      </c>
    </row>
    <row r="35" customFormat="false" ht="15" hidden="false" customHeight="true" outlineLevel="0" collapsed="false">
      <c r="A35" s="33" t="s">
        <v>1407</v>
      </c>
      <c r="D35" s="52" t="n">
        <f aca="false">IF(D$3=0,0,in_G08*c_regen_ha*in_R03*in_R08a*in_R08b*MIN(1,D$3/in_R11))</f>
        <v>0</v>
      </c>
      <c r="E35" s="52" t="n">
        <f aca="false">IF(E$3=0,0,in_G08*c_regen_ha*in_R03*in_R08a*in_R08b*MIN(1,E$3/in_R11))</f>
        <v>0</v>
      </c>
      <c r="F35" s="52" t="n">
        <f aca="false">IF(F$3=0,0,in_G08*c_regen_ha*in_R03*in_R08a*in_R08b*MIN(1,F$3/in_R11))</f>
        <v>0</v>
      </c>
      <c r="G35" s="52" t="n">
        <f aca="false">IF(G$3=0,0,in_G08*c_regen_ha*in_R03*in_R08a*in_R08b*MIN(1,G$3/in_R11))</f>
        <v>0</v>
      </c>
      <c r="H35" s="52" t="n">
        <f aca="false">IF(H$3=0,0,in_G08*c_regen_ha*in_R03*in_R08a*in_R08b*MIN(1,H$3/in_R11))</f>
        <v>0</v>
      </c>
      <c r="I35" s="52" t="n">
        <f aca="false">IF(I$3=0,0,in_G08*c_regen_ha*in_R03*in_R08a*in_R08b*MIN(1,I$3/in_R11))</f>
        <v>0</v>
      </c>
      <c r="J35" s="52" t="n">
        <f aca="false">IF(J$3=0,0,in_G08*c_regen_ha*in_R03*in_R08a*in_R08b*MIN(1,J$3/in_R11))</f>
        <v>0</v>
      </c>
      <c r="K35" s="52" t="n">
        <f aca="false">IF(K$3=0,0,in_G08*c_regen_ha*in_R03*in_R08a*in_R08b*MIN(1,K$3/in_R11))</f>
        <v>0</v>
      </c>
      <c r="L35" s="52" t="n">
        <f aca="false">IF(L$3=0,0,in_G08*c_regen_ha*in_R03*in_R08a*in_R08b*MIN(1,L$3/in_R11))</f>
        <v>0</v>
      </c>
      <c r="M35" s="52" t="n">
        <f aca="false">IF(M$3=0,0,in_G08*c_regen_ha*in_R03*in_R08a*in_R08b*MIN(1,M$3/in_R11))</f>
        <v>0</v>
      </c>
      <c r="N35" s="52" t="n">
        <f aca="false">IF(N$3=0,0,in_G08*c_regen_ha*in_R03*in_R08a*in_R08b*MIN(1,N$3/in_R11))</f>
        <v>0</v>
      </c>
      <c r="O35" s="52" t="n">
        <f aca="false">IF(O$3=0,0,in_G08*c_regen_ha*in_R03*in_R08a*in_R08b*MIN(1,O$3/in_R11))</f>
        <v>0</v>
      </c>
      <c r="P35" s="52" t="n">
        <f aca="false">IF(P$3=0,0,in_G08*c_regen_ha*in_R03*in_R08a*in_R08b*MIN(1,P$3/in_R11))</f>
        <v>0</v>
      </c>
      <c r="Q35" s="52" t="n">
        <f aca="false">IF(Q$3=0,0,in_G08*c_regen_ha*in_R03*in_R08a*in_R08b*MIN(1,Q$3/in_R11))</f>
        <v>0</v>
      </c>
      <c r="R35" s="52" t="n">
        <f aca="false">IF(R$3=0,0,in_G08*c_regen_ha*in_R03*in_R08a*in_R08b*MIN(1,R$3/in_R11))</f>
        <v>0</v>
      </c>
      <c r="S35" s="52" t="n">
        <f aca="false">IF(S$3=0,0,in_G08*c_regen_ha*in_R03*in_R08a*in_R08b*MIN(1,S$3/in_R11))</f>
        <v>0</v>
      </c>
      <c r="T35" s="52" t="n">
        <f aca="false">IF(T$3=0,0,in_G08*c_regen_ha*in_R03*in_R08a*in_R08b*MIN(1,T$3/in_R11))</f>
        <v>0</v>
      </c>
      <c r="U35" s="52" t="n">
        <f aca="false">IF(U$3=0,0,in_G08*c_regen_ha*in_R03*in_R08a*in_R08b*MIN(1,U$3/in_R11))</f>
        <v>0</v>
      </c>
      <c r="V35" s="52" t="n">
        <f aca="false">IF(V$3=0,0,in_G08*c_regen_ha*in_R03*in_R08a*in_R08b*MIN(1,V$3/in_R11))</f>
        <v>0</v>
      </c>
      <c r="W35" s="52" t="n">
        <f aca="false">IF(W$3=0,0,in_G08*c_regen_ha*in_R03*in_R08a*in_R08b*MIN(1,W$3/in_R11))</f>
        <v>0</v>
      </c>
      <c r="X35" s="52" t="n">
        <f aca="false">IF(X$3=0,0,in_G08*c_regen_ha*in_R03*in_R08a*in_R08b*MIN(1,X$3/in_R11))</f>
        <v>0</v>
      </c>
      <c r="Y35" s="52" t="n">
        <f aca="false">IF(Y$3=0,0,in_G08*c_regen_ha*in_R03*in_R08a*in_R08b*MIN(1,Y$3/in_R11))</f>
        <v>0</v>
      </c>
      <c r="Z35" s="52" t="n">
        <f aca="false">IF(Z$3=0,0,in_G08*c_regen_ha*in_R03*in_R08a*in_R08b*MIN(1,Z$3/in_R11))</f>
        <v>0</v>
      </c>
      <c r="AA35" s="52" t="n">
        <f aca="false">IF(AA$3=0,0,in_G08*c_regen_ha*in_R03*in_R08a*in_R08b*MIN(1,AA$3/in_R11))</f>
        <v>0</v>
      </c>
      <c r="AB35" s="52" t="n">
        <f aca="false">IF(AB$3=0,0,in_G08*c_regen_ha*in_R03*in_R08a*in_R08b*MIN(1,AB$3/in_R11))</f>
        <v>0</v>
      </c>
      <c r="AC35" s="52" t="n">
        <f aca="false">IF(AC$3=0,0,in_G08*c_regen_ha*in_R03*in_R08a*in_R08b*MIN(1,AC$3/in_R11))</f>
        <v>0</v>
      </c>
      <c r="AD35" s="52" t="n">
        <f aca="false">IF(AD$3=0,0,in_G08*c_regen_ha*in_R03*in_R08a*in_R08b*MIN(1,AD$3/in_R11))</f>
        <v>0</v>
      </c>
      <c r="AE35" s="52" t="n">
        <f aca="false">IF(AE$3=0,0,in_G08*c_regen_ha*in_R03*in_R08a*in_R08b*MIN(1,AE$3/in_R11))</f>
        <v>0</v>
      </c>
      <c r="AF35" s="52" t="n">
        <f aca="false">IF(AF$3=0,0,in_G08*c_regen_ha*in_R03*in_R08a*in_R08b*MIN(1,AF$3/in_R11))</f>
        <v>0</v>
      </c>
      <c r="AG35" s="52" t="n">
        <f aca="false">IF(AG$3=0,0,in_G08*c_regen_ha*in_R03*in_R08a*in_R08b*MIN(1,AG$3/in_R11))</f>
        <v>0</v>
      </c>
      <c r="AH35" s="52" t="n">
        <f aca="false">IF(AH$3=0,0,in_G08*c_regen_ha*in_R03*in_R08a*in_R08b*MIN(1,AH$3/in_R11))</f>
        <v>0</v>
      </c>
    </row>
    <row r="36" customFormat="false" ht="15" hidden="false" customHeight="true" outlineLevel="0" collapsed="false">
      <c r="A36" s="33" t="s">
        <v>1408</v>
      </c>
      <c r="D36" s="52" t="n">
        <f aca="false">0</f>
        <v>0</v>
      </c>
      <c r="E36" s="52" t="n">
        <f aca="false">0</f>
        <v>0</v>
      </c>
      <c r="F36" s="52" t="n">
        <f aca="false">0</f>
        <v>0</v>
      </c>
      <c r="G36" s="52" t="n">
        <f aca="false">0</f>
        <v>0</v>
      </c>
      <c r="H36" s="52" t="n">
        <f aca="false">0</f>
        <v>0</v>
      </c>
      <c r="I36" s="52" t="n">
        <f aca="false">0</f>
        <v>0</v>
      </c>
      <c r="J36" s="52" t="n">
        <f aca="false">0</f>
        <v>0</v>
      </c>
      <c r="K36" s="52" t="n">
        <f aca="false">0</f>
        <v>0</v>
      </c>
      <c r="L36" s="52" t="n">
        <f aca="false">0</f>
        <v>0</v>
      </c>
      <c r="M36" s="52" t="n">
        <f aca="false">0</f>
        <v>0</v>
      </c>
      <c r="N36" s="52" t="n">
        <f aca="false">0</f>
        <v>0</v>
      </c>
      <c r="O36" s="52" t="n">
        <f aca="false">0</f>
        <v>0</v>
      </c>
      <c r="P36" s="52" t="n">
        <f aca="false">0</f>
        <v>0</v>
      </c>
      <c r="Q36" s="52" t="n">
        <f aca="false">0</f>
        <v>0</v>
      </c>
      <c r="R36" s="52" t="n">
        <f aca="false">0</f>
        <v>0</v>
      </c>
      <c r="S36" s="52" t="n">
        <f aca="false">0</f>
        <v>0</v>
      </c>
      <c r="T36" s="52" t="n">
        <f aca="false">0</f>
        <v>0</v>
      </c>
      <c r="U36" s="52" t="n">
        <f aca="false">0</f>
        <v>0</v>
      </c>
      <c r="V36" s="52" t="n">
        <f aca="false">0</f>
        <v>0</v>
      </c>
      <c r="W36" s="52" t="n">
        <f aca="false">0</f>
        <v>0</v>
      </c>
      <c r="X36" s="52" t="n">
        <f aca="false">0</f>
        <v>0</v>
      </c>
      <c r="Y36" s="52" t="n">
        <f aca="false">0</f>
        <v>0</v>
      </c>
      <c r="Z36" s="52" t="n">
        <f aca="false">0</f>
        <v>0</v>
      </c>
      <c r="AA36" s="52" t="n">
        <f aca="false">0</f>
        <v>0</v>
      </c>
      <c r="AB36" s="52" t="n">
        <f aca="false">0</f>
        <v>0</v>
      </c>
      <c r="AC36" s="52" t="n">
        <f aca="false">0</f>
        <v>0</v>
      </c>
      <c r="AD36" s="52" t="n">
        <f aca="false">0</f>
        <v>0</v>
      </c>
      <c r="AE36" s="52" t="n">
        <f aca="false">0</f>
        <v>0</v>
      </c>
      <c r="AF36" s="52" t="n">
        <f aca="false">0</f>
        <v>0</v>
      </c>
      <c r="AG36" s="52" t="n">
        <f aca="false">0</f>
        <v>0</v>
      </c>
      <c r="AH36" s="52" t="n">
        <f aca="false">0</f>
        <v>0</v>
      </c>
    </row>
    <row r="37" customFormat="false" ht="15" hidden="false" customHeight="true" outlineLevel="0" collapsed="false">
      <c r="A37" s="33" t="s">
        <v>1409</v>
      </c>
      <c r="D37" s="52" t="n">
        <f aca="false">D34+D35-D36</f>
        <v>0</v>
      </c>
      <c r="E37" s="52" t="n">
        <f aca="false">E34+E35-E36</f>
        <v>0</v>
      </c>
      <c r="F37" s="52" t="n">
        <f aca="false">F34+F35-F36</f>
        <v>0</v>
      </c>
      <c r="G37" s="52" t="n">
        <f aca="false">G34+G35-G36</f>
        <v>0</v>
      </c>
      <c r="H37" s="52" t="n">
        <f aca="false">H34+H35-H36</f>
        <v>0</v>
      </c>
      <c r="I37" s="52" t="n">
        <f aca="false">I34+I35-I36</f>
        <v>0</v>
      </c>
      <c r="J37" s="52" t="n">
        <f aca="false">J34+J35-J36</f>
        <v>0</v>
      </c>
      <c r="K37" s="52" t="n">
        <f aca="false">K34+K35-K36</f>
        <v>0</v>
      </c>
      <c r="L37" s="52" t="n">
        <f aca="false">L34+L35-L36</f>
        <v>0</v>
      </c>
      <c r="M37" s="52" t="n">
        <f aca="false">M34+M35-M36</f>
        <v>0</v>
      </c>
      <c r="N37" s="52" t="n">
        <f aca="false">N34+N35-N36</f>
        <v>0</v>
      </c>
      <c r="O37" s="52" t="n">
        <f aca="false">O34+O35-O36</f>
        <v>0</v>
      </c>
      <c r="P37" s="52" t="n">
        <f aca="false">P34+P35-P36</f>
        <v>0</v>
      </c>
      <c r="Q37" s="52" t="n">
        <f aca="false">Q34+Q35-Q36</f>
        <v>0</v>
      </c>
      <c r="R37" s="52" t="n">
        <f aca="false">R34+R35-R36</f>
        <v>0</v>
      </c>
      <c r="S37" s="52" t="n">
        <f aca="false">S34+S35-S36</f>
        <v>1317.92998205423</v>
      </c>
      <c r="T37" s="52" t="n">
        <f aca="false">T34+T35-T36</f>
        <v>4389.78419599117</v>
      </c>
      <c r="U37" s="52" t="n">
        <f aca="false">U34+U35-U36</f>
        <v>4389.78419599117</v>
      </c>
      <c r="V37" s="52" t="n">
        <f aca="false">V34+V35-V36</f>
        <v>4389.78419599116</v>
      </c>
      <c r="W37" s="52" t="n">
        <f aca="false">W34+W35-W36</f>
        <v>4389.78419599117</v>
      </c>
      <c r="X37" s="52" t="n">
        <f aca="false">X34+X35-X36</f>
        <v>4389.78419599117</v>
      </c>
      <c r="Y37" s="52" t="n">
        <f aca="false">Y34+Y35-Y36</f>
        <v>4389.78419599118</v>
      </c>
      <c r="Z37" s="52" t="n">
        <f aca="false">Z34+Z35-Z36</f>
        <v>4389.78419599116</v>
      </c>
      <c r="AA37" s="52" t="n">
        <f aca="false">AA34+AA35-AA36</f>
        <v>4389.78419599116</v>
      </c>
      <c r="AB37" s="52" t="n">
        <f aca="false">AB34+AB35-AB36</f>
        <v>4389.78419599118</v>
      </c>
      <c r="AC37" s="52" t="n">
        <f aca="false">AC34+AC35-AC36</f>
        <v>4389.78419599116</v>
      </c>
      <c r="AD37" s="52" t="n">
        <f aca="false">AD34+AD35-AD36</f>
        <v>4389.78419599116</v>
      </c>
      <c r="AE37" s="52" t="n">
        <f aca="false">AE34+AE35-AE36</f>
        <v>4389.78419599116</v>
      </c>
      <c r="AF37" s="52" t="n">
        <f aca="false">AF34+AF35-AF36</f>
        <v>4389.78419599116</v>
      </c>
      <c r="AG37" s="52" t="n">
        <f aca="false">AG34+AG35-AG36</f>
        <v>4389.78419599116</v>
      </c>
      <c r="AH37" s="52" t="n">
        <f aca="false">AH34+AH35-AH36</f>
        <v>4389.78419599116</v>
      </c>
    </row>
    <row r="38" customFormat="false" ht="15" hidden="false" customHeight="true" outlineLevel="0" collapsed="false">
      <c r="A38" s="33" t="s">
        <v>1410</v>
      </c>
      <c r="D38" s="52" t="n">
        <f aca="false">D$4*MAX(0,D37)</f>
        <v>0</v>
      </c>
      <c r="E38" s="52" t="n">
        <f aca="false">E$4*MAX(0,E37)</f>
        <v>0</v>
      </c>
      <c r="F38" s="52" t="n">
        <f aca="false">F$4*MAX(0,F37)</f>
        <v>0</v>
      </c>
      <c r="G38" s="52" t="n">
        <f aca="false">G$4*MAX(0,G37)</f>
        <v>0</v>
      </c>
      <c r="H38" s="52" t="n">
        <f aca="false">H$4*MAX(0,H37)</f>
        <v>0</v>
      </c>
      <c r="I38" s="52" t="n">
        <f aca="false">I$4*MAX(0,I37)</f>
        <v>0</v>
      </c>
      <c r="J38" s="52" t="n">
        <f aca="false">J$4*MAX(0,J37)</f>
        <v>0</v>
      </c>
      <c r="K38" s="52" t="n">
        <f aca="false">K$4*MAX(0,K37)</f>
        <v>0</v>
      </c>
      <c r="L38" s="52" t="n">
        <f aca="false">L$4*MAX(0,L37)</f>
        <v>0</v>
      </c>
      <c r="M38" s="52" t="n">
        <f aca="false">M$4*MAX(0,M37)</f>
        <v>0</v>
      </c>
      <c r="N38" s="52" t="n">
        <f aca="false">N$4*MAX(0,N37)</f>
        <v>0</v>
      </c>
      <c r="O38" s="52" t="n">
        <f aca="false">O$4*MAX(0,O37)</f>
        <v>0</v>
      </c>
      <c r="P38" s="52" t="n">
        <f aca="false">P$4*MAX(0,P37)</f>
        <v>0</v>
      </c>
      <c r="Q38" s="52" t="n">
        <f aca="false">Q$4*MAX(0,Q37)</f>
        <v>0</v>
      </c>
      <c r="R38" s="52" t="n">
        <f aca="false">R$4*MAX(0,R37)</f>
        <v>0</v>
      </c>
      <c r="S38" s="52" t="n">
        <f aca="false">S$4*MAX(0,S37)</f>
        <v>217.458447038948</v>
      </c>
      <c r="T38" s="52" t="n">
        <f aca="false">T$4*MAX(0,T37)</f>
        <v>724.314392338543</v>
      </c>
      <c r="U38" s="52" t="n">
        <f aca="false">U$4*MAX(0,U37)</f>
        <v>724.314392338543</v>
      </c>
      <c r="V38" s="52" t="n">
        <f aca="false">V$4*MAX(0,V37)</f>
        <v>724.314392338541</v>
      </c>
      <c r="W38" s="52" t="n">
        <f aca="false">W$4*MAX(0,W37)</f>
        <v>724.314392338543</v>
      </c>
      <c r="X38" s="52" t="n">
        <f aca="false">X$4*MAX(0,X37)</f>
        <v>724.314392338543</v>
      </c>
      <c r="Y38" s="52" t="n">
        <f aca="false">Y$4*MAX(0,Y37)</f>
        <v>724.314392338544</v>
      </c>
      <c r="Z38" s="52" t="n">
        <f aca="false">Z$4*MAX(0,Z37)</f>
        <v>724.314392338541</v>
      </c>
      <c r="AA38" s="52" t="n">
        <f aca="false">AA$4*MAX(0,AA37)</f>
        <v>724.314392338541</v>
      </c>
      <c r="AB38" s="52" t="n">
        <f aca="false">AB$4*MAX(0,AB37)</f>
        <v>724.314392338544</v>
      </c>
      <c r="AC38" s="52" t="n">
        <f aca="false">AC$4*MAX(0,AC37)</f>
        <v>724.314392338541</v>
      </c>
      <c r="AD38" s="52" t="n">
        <f aca="false">AD$4*MAX(0,AD37)</f>
        <v>724.314392338541</v>
      </c>
      <c r="AE38" s="52" t="n">
        <f aca="false">AE$4*MAX(0,AE37)</f>
        <v>724.314392338541</v>
      </c>
      <c r="AF38" s="52" t="n">
        <f aca="false">AF$4*MAX(0,AF37)</f>
        <v>724.314392338541</v>
      </c>
      <c r="AG38" s="52" t="n">
        <f aca="false">AG$4*MAX(0,AG37)</f>
        <v>724.314392338541</v>
      </c>
      <c r="AH38" s="52" t="n">
        <f aca="false">AH$4*MAX(0,AH37)</f>
        <v>724.314392338541</v>
      </c>
    </row>
    <row r="39" customFormat="false" ht="15" hidden="false" customHeight="true" outlineLevel="0" collapsed="false">
      <c r="A39" s="33" t="s">
        <v>1411</v>
      </c>
      <c r="C39" s="55" t="n">
        <f aca="false">SUMPRODUCT(D39:AH39,D$5:AH$5)</f>
        <v>-45446.6931048886</v>
      </c>
      <c r="D39" s="55" t="n">
        <f aca="false">(D37-D33-D38)*D32</f>
        <v>-28750</v>
      </c>
      <c r="E39" s="55" t="n">
        <f aca="false">(E37-E33-E38)*E32</f>
        <v>-8750</v>
      </c>
      <c r="F39" s="55" t="n">
        <f aca="false">(F37-F33-F38)*F32</f>
        <v>-8750</v>
      </c>
      <c r="G39" s="55" t="n">
        <f aca="false">(G37-G33-G38)*G32</f>
        <v>-8750</v>
      </c>
      <c r="H39" s="55" t="n">
        <f aca="false">(H37-H33-H38)*H32</f>
        <v>0</v>
      </c>
      <c r="I39" s="55" t="n">
        <f aca="false">(I37-I33-I38)*I32</f>
        <v>0</v>
      </c>
      <c r="J39" s="55" t="n">
        <f aca="false">(J37-J33-J38)*J32</f>
        <v>0</v>
      </c>
      <c r="K39" s="55" t="n">
        <f aca="false">(K37-K33-K38)*K32</f>
        <v>0</v>
      </c>
      <c r="L39" s="55" t="n">
        <f aca="false">(L37-L33-L38)*L32</f>
        <v>0</v>
      </c>
      <c r="M39" s="55" t="n">
        <f aca="false">(M37-M33-M38)*M32</f>
        <v>0</v>
      </c>
      <c r="N39" s="55" t="n">
        <f aca="false">(N37-N33-N38)*N32</f>
        <v>0</v>
      </c>
      <c r="O39" s="55" t="n">
        <f aca="false">(O37-O33-O38)*O32</f>
        <v>0</v>
      </c>
      <c r="P39" s="55" t="n">
        <f aca="false">(P37-P33-P38)*P32</f>
        <v>0</v>
      </c>
      <c r="Q39" s="55" t="n">
        <f aca="false">(Q37-Q33-Q38)*Q32</f>
        <v>0</v>
      </c>
      <c r="R39" s="55" t="n">
        <f aca="false">(R37-R33-R38)*R32</f>
        <v>0</v>
      </c>
      <c r="S39" s="55" t="n">
        <f aca="false">(S37-S33-S38)*S32</f>
        <v>1100.47153501528</v>
      </c>
      <c r="T39" s="55" t="n">
        <f aca="false">(T37-T33-T38)*T32</f>
        <v>3665.46980365262</v>
      </c>
      <c r="U39" s="55" t="n">
        <f aca="false">(U37-U33-U38)*U32</f>
        <v>3665.46980365262</v>
      </c>
      <c r="V39" s="55" t="n">
        <f aca="false">(V37-V33-V38)*V32</f>
        <v>3665.46980365262</v>
      </c>
      <c r="W39" s="55" t="n">
        <f aca="false">(W37-W33-W38)*W32</f>
        <v>3665.46980365262</v>
      </c>
      <c r="X39" s="55" t="n">
        <f aca="false">(X37-X33-X38)*X32</f>
        <v>3665.46980365262</v>
      </c>
      <c r="Y39" s="55" t="n">
        <f aca="false">(Y37-Y33-Y38)*Y32</f>
        <v>3665.46980365263</v>
      </c>
      <c r="Z39" s="55" t="n">
        <f aca="false">(Z37-Z33-Z38)*Z32</f>
        <v>3665.46980365262</v>
      </c>
      <c r="AA39" s="55" t="n">
        <f aca="false">(AA37-AA33-AA38)*AA32</f>
        <v>3665.46980365262</v>
      </c>
      <c r="AB39" s="55" t="n">
        <f aca="false">(AB37-AB33-AB38)*AB32</f>
        <v>3665.46980365263</v>
      </c>
      <c r="AC39" s="55" t="n">
        <f aca="false">(AC37-AC33-AC38)*AC32</f>
        <v>3665.46980365262</v>
      </c>
      <c r="AD39" s="55" t="n">
        <f aca="false">(AD37-AD33-AD38)*AD32</f>
        <v>3665.46980365262</v>
      </c>
      <c r="AE39" s="55" t="n">
        <f aca="false">(AE37-AE33-AE38)*AE32</f>
        <v>3665.46980365262</v>
      </c>
      <c r="AF39" s="55" t="n">
        <f aca="false">(AF37-AF33-AF38)*AF32</f>
        <v>3665.46980365262</v>
      </c>
      <c r="AG39" s="55" t="n">
        <f aca="false">(AG37-AG33-AG38)*AG32</f>
        <v>3665.46980365262</v>
      </c>
      <c r="AH39" s="55" t="n">
        <f aca="false">(AH37-AH33-AH38)*AH32</f>
        <v>3665.46980365262</v>
      </c>
    </row>
    <row r="40" customFormat="false" ht="15" hidden="false" customHeight="true" outlineLevel="0" collapsed="false">
      <c r="A40" s="33" t="s">
        <v>1412</v>
      </c>
      <c r="C40" s="46" t="n">
        <f aca="false">SUMPRODUCT(D40:AH40,D$5:AH$5)</f>
        <v>0</v>
      </c>
      <c r="D40" s="52" t="n">
        <f aca="false">0</f>
        <v>0</v>
      </c>
      <c r="E40" s="52" t="n">
        <f aca="false">0</f>
        <v>0</v>
      </c>
      <c r="F40" s="52" t="n">
        <f aca="false">0</f>
        <v>0</v>
      </c>
      <c r="G40" s="52" t="n">
        <f aca="false">0</f>
        <v>0</v>
      </c>
      <c r="H40" s="52" t="n">
        <f aca="false">0</f>
        <v>0</v>
      </c>
      <c r="I40" s="52" t="n">
        <f aca="false">0</f>
        <v>0</v>
      </c>
      <c r="J40" s="52" t="n">
        <f aca="false">0</f>
        <v>0</v>
      </c>
      <c r="K40" s="52" t="n">
        <f aca="false">0</f>
        <v>0</v>
      </c>
      <c r="L40" s="52" t="n">
        <f aca="false">0</f>
        <v>0</v>
      </c>
      <c r="M40" s="52" t="n">
        <f aca="false">0</f>
        <v>0</v>
      </c>
      <c r="N40" s="52" t="n">
        <f aca="false">0</f>
        <v>0</v>
      </c>
      <c r="O40" s="52" t="n">
        <f aca="false">0</f>
        <v>0</v>
      </c>
      <c r="P40" s="52" t="n">
        <f aca="false">0</f>
        <v>0</v>
      </c>
      <c r="Q40" s="52" t="n">
        <f aca="false">0</f>
        <v>0</v>
      </c>
      <c r="R40" s="52" t="n">
        <f aca="false">0</f>
        <v>0</v>
      </c>
      <c r="S40" s="52" t="n">
        <f aca="false">0</f>
        <v>0</v>
      </c>
      <c r="T40" s="52" t="n">
        <f aca="false">0</f>
        <v>0</v>
      </c>
      <c r="U40" s="52" t="n">
        <f aca="false">0</f>
        <v>0</v>
      </c>
      <c r="V40" s="52" t="n">
        <f aca="false">0</f>
        <v>0</v>
      </c>
      <c r="W40" s="52" t="n">
        <f aca="false">0</f>
        <v>0</v>
      </c>
      <c r="X40" s="52" t="n">
        <f aca="false">0</f>
        <v>0</v>
      </c>
      <c r="Y40" s="52" t="n">
        <f aca="false">0</f>
        <v>0</v>
      </c>
      <c r="Z40" s="52" t="n">
        <f aca="false">0</f>
        <v>0</v>
      </c>
      <c r="AA40" s="52" t="n">
        <f aca="false">0</f>
        <v>0</v>
      </c>
      <c r="AB40" s="52" t="n">
        <f aca="false">0</f>
        <v>0</v>
      </c>
      <c r="AC40" s="52" t="n">
        <f aca="false">0</f>
        <v>0</v>
      </c>
      <c r="AD40" s="52" t="n">
        <f aca="false">0</f>
        <v>0</v>
      </c>
      <c r="AE40" s="52" t="n">
        <f aca="false">0</f>
        <v>0</v>
      </c>
      <c r="AF40" s="52" t="n">
        <f aca="false">0</f>
        <v>0</v>
      </c>
      <c r="AG40" s="52" t="n">
        <f aca="false">0</f>
        <v>0</v>
      </c>
      <c r="AH40" s="52" t="n">
        <f aca="false">0</f>
        <v>0</v>
      </c>
    </row>
    <row r="41" customFormat="false" ht="15" hidden="false" customHeight="true" outlineLevel="0" collapsed="false">
      <c r="A41" s="33" t="s">
        <v>1413</v>
      </c>
      <c r="C41" s="46" t="n">
        <f aca="false">SUMPRODUCT(D41:AH41,D$5:AH$5)</f>
        <v>4746.57739691061</v>
      </c>
      <c r="D41" s="52" t="n">
        <f aca="false">D34*D32</f>
        <v>0</v>
      </c>
      <c r="E41" s="52" t="n">
        <f aca="false">E34*E32</f>
        <v>0</v>
      </c>
      <c r="F41" s="52" t="n">
        <f aca="false">F34*F32</f>
        <v>0</v>
      </c>
      <c r="G41" s="52" t="n">
        <f aca="false">G34*G32</f>
        <v>0</v>
      </c>
      <c r="H41" s="52" t="n">
        <f aca="false">H34*H32</f>
        <v>0</v>
      </c>
      <c r="I41" s="52" t="n">
        <f aca="false">I34*I32</f>
        <v>0</v>
      </c>
      <c r="J41" s="52" t="n">
        <f aca="false">J34*J32</f>
        <v>0</v>
      </c>
      <c r="K41" s="52" t="n">
        <f aca="false">K34*K32</f>
        <v>0</v>
      </c>
      <c r="L41" s="52" t="n">
        <f aca="false">L34*L32</f>
        <v>0</v>
      </c>
      <c r="M41" s="52" t="n">
        <f aca="false">M34*M32</f>
        <v>0</v>
      </c>
      <c r="N41" s="52" t="n">
        <f aca="false">N34*N32</f>
        <v>0</v>
      </c>
      <c r="O41" s="52" t="n">
        <f aca="false">O34*O32</f>
        <v>0</v>
      </c>
      <c r="P41" s="52" t="n">
        <f aca="false">P34*P32</f>
        <v>0</v>
      </c>
      <c r="Q41" s="52" t="n">
        <f aca="false">Q34*Q32</f>
        <v>0</v>
      </c>
      <c r="R41" s="52" t="n">
        <f aca="false">R34*R32</f>
        <v>0</v>
      </c>
      <c r="S41" s="52" t="n">
        <f aca="false">S34*S32</f>
        <v>1317.92998205423</v>
      </c>
      <c r="T41" s="52" t="n">
        <f aca="false">T34*T32</f>
        <v>4389.78419599117</v>
      </c>
      <c r="U41" s="52" t="n">
        <f aca="false">U34*U32</f>
        <v>4389.78419599117</v>
      </c>
      <c r="V41" s="52" t="n">
        <f aca="false">V34*V32</f>
        <v>4389.78419599116</v>
      </c>
      <c r="W41" s="52" t="n">
        <f aca="false">W34*W32</f>
        <v>4389.78419599117</v>
      </c>
      <c r="X41" s="52" t="n">
        <f aca="false">X34*X32</f>
        <v>4389.78419599117</v>
      </c>
      <c r="Y41" s="52" t="n">
        <f aca="false">Y34*Y32</f>
        <v>4389.78419599118</v>
      </c>
      <c r="Z41" s="52" t="n">
        <f aca="false">Z34*Z32</f>
        <v>4389.78419599116</v>
      </c>
      <c r="AA41" s="52" t="n">
        <f aca="false">AA34*AA32</f>
        <v>4389.78419599116</v>
      </c>
      <c r="AB41" s="52" t="n">
        <f aca="false">AB34*AB32</f>
        <v>4389.78419599118</v>
      </c>
      <c r="AC41" s="52" t="n">
        <f aca="false">AC34*AC32</f>
        <v>4389.78419599116</v>
      </c>
      <c r="AD41" s="52" t="n">
        <f aca="false">AD34*AD32</f>
        <v>4389.78419599116</v>
      </c>
      <c r="AE41" s="52" t="n">
        <f aca="false">AE34*AE32</f>
        <v>4389.78419599116</v>
      </c>
      <c r="AF41" s="52" t="n">
        <f aca="false">AF34*AF32</f>
        <v>4389.78419599116</v>
      </c>
      <c r="AG41" s="52" t="n">
        <f aca="false">AG34*AG32</f>
        <v>4389.78419599116</v>
      </c>
      <c r="AH41" s="52" t="n">
        <f aca="false">AH34*AH32</f>
        <v>4389.78419599116</v>
      </c>
    </row>
    <row r="43" customFormat="false" ht="15" hidden="false" customHeight="true" outlineLevel="0" collapsed="false">
      <c r="A43" s="53" t="s">
        <v>1415</v>
      </c>
      <c r="B43" s="58" t="s">
        <v>1403</v>
      </c>
      <c r="C43" s="59" t="n">
        <f aca="false">in_G02a</f>
        <v>20</v>
      </c>
      <c r="D43" s="60"/>
      <c r="E43" s="60"/>
      <c r="F43" s="60"/>
      <c r="G43" s="60"/>
      <c r="H43" s="60"/>
      <c r="I43" s="60"/>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row>
    <row r="44" customFormat="false" ht="15" hidden="false" customHeight="true" outlineLevel="0" collapsed="false">
      <c r="A44" s="33" t="s">
        <v>1404</v>
      </c>
      <c r="D44" s="61" t="n">
        <f aca="false">IF(D$3&lt;=in_G02a,1,0)</f>
        <v>1</v>
      </c>
      <c r="E44" s="61" t="n">
        <f aca="false">IF(E$3&lt;=in_G02a,1,0)</f>
        <v>1</v>
      </c>
      <c r="F44" s="61" t="n">
        <f aca="false">IF(F$3&lt;=in_G02a,1,0)</f>
        <v>1</v>
      </c>
      <c r="G44" s="61" t="n">
        <f aca="false">IF(G$3&lt;=in_G02a,1,0)</f>
        <v>1</v>
      </c>
      <c r="H44" s="61" t="n">
        <f aca="false">IF(H$3&lt;=in_G02a,1,0)</f>
        <v>1</v>
      </c>
      <c r="I44" s="61" t="n">
        <f aca="false">IF(I$3&lt;=in_G02a,1,0)</f>
        <v>1</v>
      </c>
      <c r="J44" s="61" t="n">
        <f aca="false">IF(J$3&lt;=in_G02a,1,0)</f>
        <v>1</v>
      </c>
      <c r="K44" s="61" t="n">
        <f aca="false">IF(K$3&lt;=in_G02a,1,0)</f>
        <v>1</v>
      </c>
      <c r="L44" s="61" t="n">
        <f aca="false">IF(L$3&lt;=in_G02a,1,0)</f>
        <v>1</v>
      </c>
      <c r="M44" s="61" t="n">
        <f aca="false">IF(M$3&lt;=in_G02a,1,0)</f>
        <v>1</v>
      </c>
      <c r="N44" s="61" t="n">
        <f aca="false">IF(N$3&lt;=in_G02a,1,0)</f>
        <v>1</v>
      </c>
      <c r="O44" s="61" t="n">
        <f aca="false">IF(O$3&lt;=in_G02a,1,0)</f>
        <v>1</v>
      </c>
      <c r="P44" s="61" t="n">
        <f aca="false">IF(P$3&lt;=in_G02a,1,0)</f>
        <v>1</v>
      </c>
      <c r="Q44" s="61" t="n">
        <f aca="false">IF(Q$3&lt;=in_G02a,1,0)</f>
        <v>1</v>
      </c>
      <c r="R44" s="61" t="n">
        <f aca="false">IF(R$3&lt;=in_G02a,1,0)</f>
        <v>1</v>
      </c>
      <c r="S44" s="61" t="n">
        <f aca="false">IF(S$3&lt;=in_G02a,1,0)</f>
        <v>1</v>
      </c>
      <c r="T44" s="61" t="n">
        <f aca="false">IF(T$3&lt;=in_G02a,1,0)</f>
        <v>1</v>
      </c>
      <c r="U44" s="61" t="n">
        <f aca="false">IF(U$3&lt;=in_G02a,1,0)</f>
        <v>1</v>
      </c>
      <c r="V44" s="61" t="n">
        <f aca="false">IF(V$3&lt;=in_G02a,1,0)</f>
        <v>1</v>
      </c>
      <c r="W44" s="61" t="n">
        <f aca="false">IF(W$3&lt;=in_G02a,1,0)</f>
        <v>1</v>
      </c>
      <c r="X44" s="61" t="n">
        <f aca="false">IF(X$3&lt;=in_G02a,1,0)</f>
        <v>1</v>
      </c>
      <c r="Y44" s="61" t="n">
        <f aca="false">IF(Y$3&lt;=in_G02a,1,0)</f>
        <v>0</v>
      </c>
      <c r="Z44" s="61" t="n">
        <f aca="false">IF(Z$3&lt;=in_G02a,1,0)</f>
        <v>0</v>
      </c>
      <c r="AA44" s="61" t="n">
        <f aca="false">IF(AA$3&lt;=in_G02a,1,0)</f>
        <v>0</v>
      </c>
      <c r="AB44" s="61" t="n">
        <f aca="false">IF(AB$3&lt;=in_G02a,1,0)</f>
        <v>0</v>
      </c>
      <c r="AC44" s="61" t="n">
        <f aca="false">IF(AC$3&lt;=in_G02a,1,0)</f>
        <v>0</v>
      </c>
      <c r="AD44" s="61" t="n">
        <f aca="false">IF(AD$3&lt;=in_G02a,1,0)</f>
        <v>0</v>
      </c>
      <c r="AE44" s="61" t="n">
        <f aca="false">IF(AE$3&lt;=in_G02a,1,0)</f>
        <v>0</v>
      </c>
      <c r="AF44" s="61" t="n">
        <f aca="false">IF(AF$3&lt;=in_G02a,1,0)</f>
        <v>0</v>
      </c>
      <c r="AG44" s="61" t="n">
        <f aca="false">IF(AG$3&lt;=in_G02a,1,0)</f>
        <v>0</v>
      </c>
      <c r="AH44" s="61" t="n">
        <f aca="false">IF(AH$3&lt;=in_G02a,1,0)</f>
        <v>0</v>
      </c>
    </row>
    <row r="45" customFormat="false" ht="15" hidden="false" customHeight="true" outlineLevel="0" collapsed="false">
      <c r="A45" s="33" t="s">
        <v>1405</v>
      </c>
      <c r="C45" s="46" t="n">
        <f aca="false">SUMPRODUCT(D45:AH45,D$5:AH$5)</f>
        <v>25000</v>
      </c>
      <c r="D45" s="52" t="n">
        <f aca="false">IF(D$3=0,in_B03*(1-in_P02),0)</f>
        <v>25000</v>
      </c>
      <c r="E45" s="52" t="n">
        <f aca="false">IF(E$3=0,in_B03*(1-in_P02),0)</f>
        <v>0</v>
      </c>
      <c r="F45" s="52" t="n">
        <f aca="false">IF(F$3=0,in_B03*(1-in_P02),0)</f>
        <v>0</v>
      </c>
      <c r="G45" s="52" t="n">
        <f aca="false">IF(G$3=0,in_B03*(1-in_P02),0)</f>
        <v>0</v>
      </c>
      <c r="H45" s="52" t="n">
        <f aca="false">IF(H$3=0,in_B03*(1-in_P02),0)</f>
        <v>0</v>
      </c>
      <c r="I45" s="52" t="n">
        <f aca="false">IF(I$3=0,in_B03*(1-in_P02),0)</f>
        <v>0</v>
      </c>
      <c r="J45" s="52" t="n">
        <f aca="false">IF(J$3=0,in_B03*(1-in_P02),0)</f>
        <v>0</v>
      </c>
      <c r="K45" s="52" t="n">
        <f aca="false">IF(K$3=0,in_B03*(1-in_P02),0)</f>
        <v>0</v>
      </c>
      <c r="L45" s="52" t="n">
        <f aca="false">IF(L$3=0,in_B03*(1-in_P02),0)</f>
        <v>0</v>
      </c>
      <c r="M45" s="52" t="n">
        <f aca="false">IF(M$3=0,in_B03*(1-in_P02),0)</f>
        <v>0</v>
      </c>
      <c r="N45" s="52" t="n">
        <f aca="false">IF(N$3=0,in_B03*(1-in_P02),0)</f>
        <v>0</v>
      </c>
      <c r="O45" s="52" t="n">
        <f aca="false">IF(O$3=0,in_B03*(1-in_P02),0)</f>
        <v>0</v>
      </c>
      <c r="P45" s="52" t="n">
        <f aca="false">IF(P$3=0,in_B03*(1-in_P02),0)</f>
        <v>0</v>
      </c>
      <c r="Q45" s="52" t="n">
        <f aca="false">IF(Q$3=0,in_B03*(1-in_P02),0)</f>
        <v>0</v>
      </c>
      <c r="R45" s="52" t="n">
        <f aca="false">IF(R$3=0,in_B03*(1-in_P02),0)</f>
        <v>0</v>
      </c>
      <c r="S45" s="52" t="n">
        <f aca="false">IF(S$3=0,in_B03*(1-in_P02),0)</f>
        <v>0</v>
      </c>
      <c r="T45" s="52" t="n">
        <f aca="false">IF(T$3=0,in_B03*(1-in_P02),0)</f>
        <v>0</v>
      </c>
      <c r="U45" s="52" t="n">
        <f aca="false">IF(U$3=0,in_B03*(1-in_P02),0)</f>
        <v>0</v>
      </c>
      <c r="V45" s="52" t="n">
        <f aca="false">IF(V$3=0,in_B03*(1-in_P02),0)</f>
        <v>0</v>
      </c>
      <c r="W45" s="52" t="n">
        <f aca="false">IF(W$3=0,in_B03*(1-in_P02),0)</f>
        <v>0</v>
      </c>
      <c r="X45" s="52" t="n">
        <f aca="false">IF(X$3=0,in_B03*(1-in_P02),0)</f>
        <v>0</v>
      </c>
      <c r="Y45" s="52" t="n">
        <f aca="false">IF(Y$3=0,in_B03*(1-in_P02),0)</f>
        <v>0</v>
      </c>
      <c r="Z45" s="52" t="n">
        <f aca="false">IF(Z$3=0,in_B03*(1-in_P02),0)</f>
        <v>0</v>
      </c>
      <c r="AA45" s="52" t="n">
        <f aca="false">IF(AA$3=0,in_B03*(1-in_P02),0)</f>
        <v>0</v>
      </c>
      <c r="AB45" s="52" t="n">
        <f aca="false">IF(AB$3=0,in_B03*(1-in_P02),0)</f>
        <v>0</v>
      </c>
      <c r="AC45" s="52" t="n">
        <f aca="false">IF(AC$3=0,in_B03*(1-in_P02),0)</f>
        <v>0</v>
      </c>
      <c r="AD45" s="52" t="n">
        <f aca="false">IF(AD$3=0,in_B03*(1-in_P02),0)</f>
        <v>0</v>
      </c>
      <c r="AE45" s="52" t="n">
        <f aca="false">IF(AE$3=0,in_B03*(1-in_P02),0)</f>
        <v>0</v>
      </c>
      <c r="AF45" s="52" t="n">
        <f aca="false">IF(AF$3=0,in_B03*(1-in_P02),0)</f>
        <v>0</v>
      </c>
      <c r="AG45" s="52" t="n">
        <f aca="false">IF(AG$3=0,in_B03*(1-in_P02),0)</f>
        <v>0</v>
      </c>
      <c r="AH45" s="52" t="n">
        <f aca="false">IF(AH$3=0,in_B03*(1-in_P02),0)</f>
        <v>0</v>
      </c>
    </row>
    <row r="46" customFormat="false" ht="15" hidden="false" customHeight="true" outlineLevel="0" collapsed="false">
      <c r="A46" s="33" t="s">
        <v>1406</v>
      </c>
      <c r="D46" s="52" t="n">
        <f aca="false">0</f>
        <v>0</v>
      </c>
      <c r="E46" s="52" t="n">
        <f aca="false">0</f>
        <v>0</v>
      </c>
      <c r="F46" s="52" t="n">
        <f aca="false">0</f>
        <v>0</v>
      </c>
      <c r="G46" s="52" t="n">
        <f aca="false">0</f>
        <v>0</v>
      </c>
      <c r="H46" s="52" t="n">
        <f aca="false">0</f>
        <v>0</v>
      </c>
      <c r="I46" s="52" t="n">
        <f aca="false">0</f>
        <v>0</v>
      </c>
      <c r="J46" s="52" t="n">
        <f aca="false">0</f>
        <v>0</v>
      </c>
      <c r="K46" s="52" t="n">
        <f aca="false">0</f>
        <v>0</v>
      </c>
      <c r="L46" s="52" t="n">
        <f aca="false">0</f>
        <v>0</v>
      </c>
      <c r="M46" s="52" t="n">
        <f aca="false">0</f>
        <v>0</v>
      </c>
      <c r="N46" s="52" t="n">
        <f aca="false">0</f>
        <v>0</v>
      </c>
      <c r="O46" s="52" t="n">
        <f aca="false">0</f>
        <v>0</v>
      </c>
      <c r="P46" s="52" t="n">
        <f aca="false">0</f>
        <v>0</v>
      </c>
      <c r="Q46" s="52" t="n">
        <f aca="false">0</f>
        <v>0</v>
      </c>
      <c r="R46" s="52" t="n">
        <f aca="false">0</f>
        <v>0</v>
      </c>
      <c r="S46" s="52" t="n">
        <f aca="false">0</f>
        <v>0</v>
      </c>
      <c r="T46" s="52" t="n">
        <f aca="false">0</f>
        <v>0</v>
      </c>
      <c r="U46" s="52" t="n">
        <f aca="false">0</f>
        <v>0</v>
      </c>
      <c r="V46" s="52" t="n">
        <f aca="false">0</f>
        <v>0</v>
      </c>
      <c r="W46" s="52" t="n">
        <f aca="false">0</f>
        <v>0</v>
      </c>
      <c r="X46" s="52" t="n">
        <f aca="false">0</f>
        <v>0</v>
      </c>
      <c r="Y46" s="52" t="n">
        <f aca="false">0</f>
        <v>0</v>
      </c>
      <c r="Z46" s="52" t="n">
        <f aca="false">0</f>
        <v>0</v>
      </c>
      <c r="AA46" s="52" t="n">
        <f aca="false">0</f>
        <v>0</v>
      </c>
      <c r="AB46" s="52" t="n">
        <f aca="false">0</f>
        <v>0</v>
      </c>
      <c r="AC46" s="52" t="n">
        <f aca="false">0</f>
        <v>0</v>
      </c>
      <c r="AD46" s="52" t="n">
        <f aca="false">0</f>
        <v>0</v>
      </c>
      <c r="AE46" s="52" t="n">
        <f aca="false">0</f>
        <v>0</v>
      </c>
      <c r="AF46" s="52" t="n">
        <f aca="false">0</f>
        <v>0</v>
      </c>
      <c r="AG46" s="52" t="n">
        <f aca="false">0</f>
        <v>0</v>
      </c>
      <c r="AH46" s="52" t="n">
        <f aca="false">0</f>
        <v>0</v>
      </c>
    </row>
    <row r="47" customFormat="false" ht="15" hidden="false" customHeight="true" outlineLevel="0" collapsed="false">
      <c r="A47" s="33" t="s">
        <v>1407</v>
      </c>
      <c r="D47" s="52" t="n">
        <f aca="false">IF(D$3=0,0,in_G08*c_char*in_B07*in_B06*(1-in_B08))</f>
        <v>0</v>
      </c>
      <c r="E47" s="52" t="n">
        <f aca="false">IF(E$3=0,0,in_G08*c_char*in_B07*in_B06*(1-in_B08))</f>
        <v>0</v>
      </c>
      <c r="F47" s="52" t="n">
        <f aca="false">IF(F$3=0,0,in_G08*c_char*in_B07*in_B06*(1-in_B08))</f>
        <v>0</v>
      </c>
      <c r="G47" s="52" t="n">
        <f aca="false">IF(G$3=0,0,in_G08*c_char*in_B07*in_B06*(1-in_B08))</f>
        <v>0</v>
      </c>
      <c r="H47" s="52" t="n">
        <f aca="false">IF(H$3=0,0,in_G08*c_char*in_B07*in_B06*(1-in_B08))</f>
        <v>0</v>
      </c>
      <c r="I47" s="52" t="n">
        <f aca="false">IF(I$3=0,0,in_G08*c_char*in_B07*in_B06*(1-in_B08))</f>
        <v>0</v>
      </c>
      <c r="J47" s="52" t="n">
        <f aca="false">IF(J$3=0,0,in_G08*c_char*in_B07*in_B06*(1-in_B08))</f>
        <v>0</v>
      </c>
      <c r="K47" s="52" t="n">
        <f aca="false">IF(K$3=0,0,in_G08*c_char*in_B07*in_B06*(1-in_B08))</f>
        <v>0</v>
      </c>
      <c r="L47" s="52" t="n">
        <f aca="false">IF(L$3=0,0,in_G08*c_char*in_B07*in_B06*(1-in_B08))</f>
        <v>0</v>
      </c>
      <c r="M47" s="52" t="n">
        <f aca="false">IF(M$3=0,0,in_G08*c_char*in_B07*in_B06*(1-in_B08))</f>
        <v>0</v>
      </c>
      <c r="N47" s="52" t="n">
        <f aca="false">IF(N$3=0,0,in_G08*c_char*in_B07*in_B06*(1-in_B08))</f>
        <v>0</v>
      </c>
      <c r="O47" s="52" t="n">
        <f aca="false">IF(O$3=0,0,in_G08*c_char*in_B07*in_B06*(1-in_B08))</f>
        <v>0</v>
      </c>
      <c r="P47" s="52" t="n">
        <f aca="false">IF(P$3=0,0,in_G08*c_char*in_B07*in_B06*(1-in_B08))</f>
        <v>0</v>
      </c>
      <c r="Q47" s="52" t="n">
        <f aca="false">IF(Q$3=0,0,in_G08*c_char*in_B07*in_B06*(1-in_B08))</f>
        <v>0</v>
      </c>
      <c r="R47" s="52" t="n">
        <f aca="false">IF(R$3=0,0,in_G08*c_char*in_B07*in_B06*(1-in_B08))</f>
        <v>0</v>
      </c>
      <c r="S47" s="52" t="n">
        <f aca="false">IF(S$3=0,0,in_G08*c_char*in_B07*in_B06*(1-in_B08))</f>
        <v>0</v>
      </c>
      <c r="T47" s="52" t="n">
        <f aca="false">IF(T$3=0,0,in_G08*c_char*in_B07*in_B06*(1-in_B08))</f>
        <v>0</v>
      </c>
      <c r="U47" s="52" t="n">
        <f aca="false">IF(U$3=0,0,in_G08*c_char*in_B07*in_B06*(1-in_B08))</f>
        <v>0</v>
      </c>
      <c r="V47" s="52" t="n">
        <f aca="false">IF(V$3=0,0,in_G08*c_char*in_B07*in_B06*(1-in_B08))</f>
        <v>0</v>
      </c>
      <c r="W47" s="52" t="n">
        <f aca="false">IF(W$3=0,0,in_G08*c_char*in_B07*in_B06*(1-in_B08))</f>
        <v>0</v>
      </c>
      <c r="X47" s="52" t="n">
        <f aca="false">IF(X$3=0,0,in_G08*c_char*in_B07*in_B06*(1-in_B08))</f>
        <v>0</v>
      </c>
      <c r="Y47" s="52" t="n">
        <f aca="false">IF(Y$3=0,0,in_G08*c_char*in_B07*in_B06*(1-in_B08))</f>
        <v>0</v>
      </c>
      <c r="Z47" s="52" t="n">
        <f aca="false">IF(Z$3=0,0,in_G08*c_char*in_B07*in_B06*(1-in_B08))</f>
        <v>0</v>
      </c>
      <c r="AA47" s="52" t="n">
        <f aca="false">IF(AA$3=0,0,in_G08*c_char*in_B07*in_B06*(1-in_B08))</f>
        <v>0</v>
      </c>
      <c r="AB47" s="52" t="n">
        <f aca="false">IF(AB$3=0,0,in_G08*c_char*in_B07*in_B06*(1-in_B08))</f>
        <v>0</v>
      </c>
      <c r="AC47" s="52" t="n">
        <f aca="false">IF(AC$3=0,0,in_G08*c_char*in_B07*in_B06*(1-in_B08))</f>
        <v>0</v>
      </c>
      <c r="AD47" s="52" t="n">
        <f aca="false">IF(AD$3=0,0,in_G08*c_char*in_B07*in_B06*(1-in_B08))</f>
        <v>0</v>
      </c>
      <c r="AE47" s="52" t="n">
        <f aca="false">IF(AE$3=0,0,in_G08*c_char*in_B07*in_B06*(1-in_B08))</f>
        <v>0</v>
      </c>
      <c r="AF47" s="52" t="n">
        <f aca="false">IF(AF$3=0,0,in_G08*c_char*in_B07*in_B06*(1-in_B08))</f>
        <v>0</v>
      </c>
      <c r="AG47" s="52" t="n">
        <f aca="false">IF(AG$3=0,0,in_G08*c_char*in_B07*in_B06*(1-in_B08))</f>
        <v>0</v>
      </c>
      <c r="AH47" s="52" t="n">
        <f aca="false">IF(AH$3=0,0,in_G08*c_char*in_B07*in_B06*(1-in_B08))</f>
        <v>0</v>
      </c>
    </row>
    <row r="48" customFormat="false" ht="15" hidden="false" customHeight="true" outlineLevel="0" collapsed="false">
      <c r="A48" s="33" t="s">
        <v>1408</v>
      </c>
      <c r="D48" s="52" t="n">
        <f aca="false">IF(D$3=0,0,c_char*in_B04+in_B01*in_B05)</f>
        <v>0</v>
      </c>
      <c r="E48" s="52" t="n">
        <f aca="false">IF(E$3=0,0,c_char*in_B04+in_B01*in_B05)</f>
        <v>14400</v>
      </c>
      <c r="F48" s="52" t="n">
        <f aca="false">IF(F$3=0,0,c_char*in_B04+in_B01*in_B05)</f>
        <v>14400</v>
      </c>
      <c r="G48" s="52" t="n">
        <f aca="false">IF(G$3=0,0,c_char*in_B04+in_B01*in_B05)</f>
        <v>14400</v>
      </c>
      <c r="H48" s="52" t="n">
        <f aca="false">IF(H$3=0,0,c_char*in_B04+in_B01*in_B05)</f>
        <v>14400</v>
      </c>
      <c r="I48" s="52" t="n">
        <f aca="false">IF(I$3=0,0,c_char*in_B04+in_B01*in_B05)</f>
        <v>14400</v>
      </c>
      <c r="J48" s="52" t="n">
        <f aca="false">IF(J$3=0,0,c_char*in_B04+in_B01*in_B05)</f>
        <v>14400</v>
      </c>
      <c r="K48" s="52" t="n">
        <f aca="false">IF(K$3=0,0,c_char*in_B04+in_B01*in_B05)</f>
        <v>14400</v>
      </c>
      <c r="L48" s="52" t="n">
        <f aca="false">IF(L$3=0,0,c_char*in_B04+in_B01*in_B05)</f>
        <v>14400</v>
      </c>
      <c r="M48" s="52" t="n">
        <f aca="false">IF(M$3=0,0,c_char*in_B04+in_B01*in_B05)</f>
        <v>14400</v>
      </c>
      <c r="N48" s="52" t="n">
        <f aca="false">IF(N$3=0,0,c_char*in_B04+in_B01*in_B05)</f>
        <v>14400</v>
      </c>
      <c r="O48" s="52" t="n">
        <f aca="false">IF(O$3=0,0,c_char*in_B04+in_B01*in_B05)</f>
        <v>14400</v>
      </c>
      <c r="P48" s="52" t="n">
        <f aca="false">IF(P$3=0,0,c_char*in_B04+in_B01*in_B05)</f>
        <v>14400</v>
      </c>
      <c r="Q48" s="52" t="n">
        <f aca="false">IF(Q$3=0,0,c_char*in_B04+in_B01*in_B05)</f>
        <v>14400</v>
      </c>
      <c r="R48" s="52" t="n">
        <f aca="false">IF(R$3=0,0,c_char*in_B04+in_B01*in_B05)</f>
        <v>14400</v>
      </c>
      <c r="S48" s="52" t="n">
        <f aca="false">IF(S$3=0,0,c_char*in_B04+in_B01*in_B05)</f>
        <v>14400</v>
      </c>
      <c r="T48" s="52" t="n">
        <f aca="false">IF(T$3=0,0,c_char*in_B04+in_B01*in_B05)</f>
        <v>14400</v>
      </c>
      <c r="U48" s="52" t="n">
        <f aca="false">IF(U$3=0,0,c_char*in_B04+in_B01*in_B05)</f>
        <v>14400</v>
      </c>
      <c r="V48" s="52" t="n">
        <f aca="false">IF(V$3=0,0,c_char*in_B04+in_B01*in_B05)</f>
        <v>14400</v>
      </c>
      <c r="W48" s="52" t="n">
        <f aca="false">IF(W$3=0,0,c_char*in_B04+in_B01*in_B05)</f>
        <v>14400</v>
      </c>
      <c r="X48" s="52" t="n">
        <f aca="false">IF(X$3=0,0,c_char*in_B04+in_B01*in_B05)</f>
        <v>14400</v>
      </c>
      <c r="Y48" s="52" t="n">
        <f aca="false">IF(Y$3=0,0,c_char*in_B04+in_B01*in_B05)</f>
        <v>14400</v>
      </c>
      <c r="Z48" s="52" t="n">
        <f aca="false">IF(Z$3=0,0,c_char*in_B04+in_B01*in_B05)</f>
        <v>14400</v>
      </c>
      <c r="AA48" s="52" t="n">
        <f aca="false">IF(AA$3=0,0,c_char*in_B04+in_B01*in_B05)</f>
        <v>14400</v>
      </c>
      <c r="AB48" s="52" t="n">
        <f aca="false">IF(AB$3=0,0,c_char*in_B04+in_B01*in_B05)</f>
        <v>14400</v>
      </c>
      <c r="AC48" s="52" t="n">
        <f aca="false">IF(AC$3=0,0,c_char*in_B04+in_B01*in_B05)</f>
        <v>14400</v>
      </c>
      <c r="AD48" s="52" t="n">
        <f aca="false">IF(AD$3=0,0,c_char*in_B04+in_B01*in_B05)</f>
        <v>14400</v>
      </c>
      <c r="AE48" s="52" t="n">
        <f aca="false">IF(AE$3=0,0,c_char*in_B04+in_B01*in_B05)</f>
        <v>14400</v>
      </c>
      <c r="AF48" s="52" t="n">
        <f aca="false">IF(AF$3=0,0,c_char*in_B04+in_B01*in_B05)</f>
        <v>14400</v>
      </c>
      <c r="AG48" s="52" t="n">
        <f aca="false">IF(AG$3=0,0,c_char*in_B04+in_B01*in_B05)</f>
        <v>14400</v>
      </c>
      <c r="AH48" s="52" t="n">
        <f aca="false">IF(AH$3=0,0,c_char*in_B04+in_B01*in_B05)</f>
        <v>14400</v>
      </c>
    </row>
    <row r="49" customFormat="false" ht="15" hidden="false" customHeight="true" outlineLevel="0" collapsed="false">
      <c r="A49" s="33" t="s">
        <v>1409</v>
      </c>
      <c r="D49" s="52" t="n">
        <f aca="false">D46+D47-D48</f>
        <v>0</v>
      </c>
      <c r="E49" s="52" t="n">
        <f aca="false">E46+E47-E48</f>
        <v>-14400</v>
      </c>
      <c r="F49" s="52" t="n">
        <f aca="false">F46+F47-F48</f>
        <v>-14400</v>
      </c>
      <c r="G49" s="52" t="n">
        <f aca="false">G46+G47-G48</f>
        <v>-14400</v>
      </c>
      <c r="H49" s="52" t="n">
        <f aca="false">H46+H47-H48</f>
        <v>-14400</v>
      </c>
      <c r="I49" s="52" t="n">
        <f aca="false">I46+I47-I48</f>
        <v>-14400</v>
      </c>
      <c r="J49" s="52" t="n">
        <f aca="false">J46+J47-J48</f>
        <v>-14400</v>
      </c>
      <c r="K49" s="52" t="n">
        <f aca="false">K46+K47-K48</f>
        <v>-14400</v>
      </c>
      <c r="L49" s="52" t="n">
        <f aca="false">L46+L47-L48</f>
        <v>-14400</v>
      </c>
      <c r="M49" s="52" t="n">
        <f aca="false">M46+M47-M48</f>
        <v>-14400</v>
      </c>
      <c r="N49" s="52" t="n">
        <f aca="false">N46+N47-N48</f>
        <v>-14400</v>
      </c>
      <c r="O49" s="52" t="n">
        <f aca="false">O46+O47-O48</f>
        <v>-14400</v>
      </c>
      <c r="P49" s="52" t="n">
        <f aca="false">P46+P47-P48</f>
        <v>-14400</v>
      </c>
      <c r="Q49" s="52" t="n">
        <f aca="false">Q46+Q47-Q48</f>
        <v>-14400</v>
      </c>
      <c r="R49" s="52" t="n">
        <f aca="false">R46+R47-R48</f>
        <v>-14400</v>
      </c>
      <c r="S49" s="52" t="n">
        <f aca="false">S46+S47-S48</f>
        <v>-14400</v>
      </c>
      <c r="T49" s="52" t="n">
        <f aca="false">T46+T47-T48</f>
        <v>-14400</v>
      </c>
      <c r="U49" s="52" t="n">
        <f aca="false">U46+U47-U48</f>
        <v>-14400</v>
      </c>
      <c r="V49" s="52" t="n">
        <f aca="false">V46+V47-V48</f>
        <v>-14400</v>
      </c>
      <c r="W49" s="52" t="n">
        <f aca="false">W46+W47-W48</f>
        <v>-14400</v>
      </c>
      <c r="X49" s="52" t="n">
        <f aca="false">X46+X47-X48</f>
        <v>-14400</v>
      </c>
      <c r="Y49" s="52" t="n">
        <f aca="false">Y46+Y47-Y48</f>
        <v>-14400</v>
      </c>
      <c r="Z49" s="52" t="n">
        <f aca="false">Z46+Z47-Z48</f>
        <v>-14400</v>
      </c>
      <c r="AA49" s="52" t="n">
        <f aca="false">AA46+AA47-AA48</f>
        <v>-14400</v>
      </c>
      <c r="AB49" s="52" t="n">
        <f aca="false">AB46+AB47-AB48</f>
        <v>-14400</v>
      </c>
      <c r="AC49" s="52" t="n">
        <f aca="false">AC46+AC47-AC48</f>
        <v>-14400</v>
      </c>
      <c r="AD49" s="52" t="n">
        <f aca="false">AD46+AD47-AD48</f>
        <v>-14400</v>
      </c>
      <c r="AE49" s="52" t="n">
        <f aca="false">AE46+AE47-AE48</f>
        <v>-14400</v>
      </c>
      <c r="AF49" s="52" t="n">
        <f aca="false">AF46+AF47-AF48</f>
        <v>-14400</v>
      </c>
      <c r="AG49" s="52" t="n">
        <f aca="false">AG46+AG47-AG48</f>
        <v>-14400</v>
      </c>
      <c r="AH49" s="52" t="n">
        <f aca="false">AH46+AH47-AH48</f>
        <v>-14400</v>
      </c>
    </row>
    <row r="50" customFormat="false" ht="15" hidden="false" customHeight="true" outlineLevel="0" collapsed="false">
      <c r="A50" s="33" t="s">
        <v>1410</v>
      </c>
      <c r="D50" s="52" t="n">
        <f aca="false">D$4*MAX(0,D49)</f>
        <v>0</v>
      </c>
      <c r="E50" s="52" t="n">
        <f aca="false">E$4*MAX(0,E49)</f>
        <v>0</v>
      </c>
      <c r="F50" s="52" t="n">
        <f aca="false">F$4*MAX(0,F49)</f>
        <v>0</v>
      </c>
      <c r="G50" s="52" t="n">
        <f aca="false">G$4*MAX(0,G49)</f>
        <v>0</v>
      </c>
      <c r="H50" s="52" t="n">
        <f aca="false">H$4*MAX(0,H49)</f>
        <v>0</v>
      </c>
      <c r="I50" s="52" t="n">
        <f aca="false">I$4*MAX(0,I49)</f>
        <v>0</v>
      </c>
      <c r="J50" s="52" t="n">
        <f aca="false">J$4*MAX(0,J49)</f>
        <v>0</v>
      </c>
      <c r="K50" s="52" t="n">
        <f aca="false">K$4*MAX(0,K49)</f>
        <v>0</v>
      </c>
      <c r="L50" s="52" t="n">
        <f aca="false">L$4*MAX(0,L49)</f>
        <v>0</v>
      </c>
      <c r="M50" s="52" t="n">
        <f aca="false">M$4*MAX(0,M49)</f>
        <v>0</v>
      </c>
      <c r="N50" s="52" t="n">
        <f aca="false">N$4*MAX(0,N49)</f>
        <v>0</v>
      </c>
      <c r="O50" s="52" t="n">
        <f aca="false">O$4*MAX(0,O49)</f>
        <v>0</v>
      </c>
      <c r="P50" s="52" t="n">
        <f aca="false">P$4*MAX(0,P49)</f>
        <v>0</v>
      </c>
      <c r="Q50" s="52" t="n">
        <f aca="false">Q$4*MAX(0,Q49)</f>
        <v>0</v>
      </c>
      <c r="R50" s="52" t="n">
        <f aca="false">R$4*MAX(0,R49)</f>
        <v>0</v>
      </c>
      <c r="S50" s="52" t="n">
        <f aca="false">S$4*MAX(0,S49)</f>
        <v>0</v>
      </c>
      <c r="T50" s="52" t="n">
        <f aca="false">T$4*MAX(0,T49)</f>
        <v>0</v>
      </c>
      <c r="U50" s="52" t="n">
        <f aca="false">U$4*MAX(0,U49)</f>
        <v>0</v>
      </c>
      <c r="V50" s="52" t="n">
        <f aca="false">V$4*MAX(0,V49)</f>
        <v>0</v>
      </c>
      <c r="W50" s="52" t="n">
        <f aca="false">W$4*MAX(0,W49)</f>
        <v>0</v>
      </c>
      <c r="X50" s="52" t="n">
        <f aca="false">X$4*MAX(0,X49)</f>
        <v>0</v>
      </c>
      <c r="Y50" s="52" t="n">
        <f aca="false">Y$4*MAX(0,Y49)</f>
        <v>0</v>
      </c>
      <c r="Z50" s="52" t="n">
        <f aca="false">Z$4*MAX(0,Z49)</f>
        <v>0</v>
      </c>
      <c r="AA50" s="52" t="n">
        <f aca="false">AA$4*MAX(0,AA49)</f>
        <v>0</v>
      </c>
      <c r="AB50" s="52" t="n">
        <f aca="false">AB$4*MAX(0,AB49)</f>
        <v>0</v>
      </c>
      <c r="AC50" s="52" t="n">
        <f aca="false">AC$4*MAX(0,AC49)</f>
        <v>0</v>
      </c>
      <c r="AD50" s="52" t="n">
        <f aca="false">AD$4*MAX(0,AD49)</f>
        <v>0</v>
      </c>
      <c r="AE50" s="52" t="n">
        <f aca="false">AE$4*MAX(0,AE49)</f>
        <v>0</v>
      </c>
      <c r="AF50" s="52" t="n">
        <f aca="false">AF$4*MAX(0,AF49)</f>
        <v>0</v>
      </c>
      <c r="AG50" s="52" t="n">
        <f aca="false">AG$4*MAX(0,AG49)</f>
        <v>0</v>
      </c>
      <c r="AH50" s="52" t="n">
        <f aca="false">AH$4*MAX(0,AH49)</f>
        <v>0</v>
      </c>
    </row>
    <row r="51" customFormat="false" ht="15" hidden="false" customHeight="true" outlineLevel="0" collapsed="false">
      <c r="A51" s="33" t="s">
        <v>1411</v>
      </c>
      <c r="C51" s="55" t="n">
        <f aca="false">SUMPRODUCT(D51:AH51,D$5:AH$5)</f>
        <v>-126156.422724122</v>
      </c>
      <c r="D51" s="55" t="n">
        <f aca="false">(D49-D45-D50)*D44</f>
        <v>-25000</v>
      </c>
      <c r="E51" s="55" t="n">
        <f aca="false">(E49-E45-E50)*E44</f>
        <v>-14400</v>
      </c>
      <c r="F51" s="55" t="n">
        <f aca="false">(F49-F45-F50)*F44</f>
        <v>-14400</v>
      </c>
      <c r="G51" s="55" t="n">
        <f aca="false">(G49-G45-G50)*G44</f>
        <v>-14400</v>
      </c>
      <c r="H51" s="55" t="n">
        <f aca="false">(H49-H45-H50)*H44</f>
        <v>-14400</v>
      </c>
      <c r="I51" s="55" t="n">
        <f aca="false">(I49-I45-I50)*I44</f>
        <v>-14400</v>
      </c>
      <c r="J51" s="55" t="n">
        <f aca="false">(J49-J45-J50)*J44</f>
        <v>-14400</v>
      </c>
      <c r="K51" s="55" t="n">
        <f aca="false">(K49-K45-K50)*K44</f>
        <v>-14400</v>
      </c>
      <c r="L51" s="55" t="n">
        <f aca="false">(L49-L45-L50)*L44</f>
        <v>-14400</v>
      </c>
      <c r="M51" s="55" t="n">
        <f aca="false">(M49-M45-M50)*M44</f>
        <v>-14400</v>
      </c>
      <c r="N51" s="55" t="n">
        <f aca="false">(N49-N45-N50)*N44</f>
        <v>-14400</v>
      </c>
      <c r="O51" s="55" t="n">
        <f aca="false">(O49-O45-O50)*O44</f>
        <v>-14400</v>
      </c>
      <c r="P51" s="55" t="n">
        <f aca="false">(P49-P45-P50)*P44</f>
        <v>-14400</v>
      </c>
      <c r="Q51" s="55" t="n">
        <f aca="false">(Q49-Q45-Q50)*Q44</f>
        <v>-14400</v>
      </c>
      <c r="R51" s="55" t="n">
        <f aca="false">(R49-R45-R50)*R44</f>
        <v>-14400</v>
      </c>
      <c r="S51" s="55" t="n">
        <f aca="false">(S49-S45-S50)*S44</f>
        <v>-14400</v>
      </c>
      <c r="T51" s="55" t="n">
        <f aca="false">(T49-T45-T50)*T44</f>
        <v>-14400</v>
      </c>
      <c r="U51" s="55" t="n">
        <f aca="false">(U49-U45-U50)*U44</f>
        <v>-14400</v>
      </c>
      <c r="V51" s="55" t="n">
        <f aca="false">(V49-V45-V50)*V44</f>
        <v>-14400</v>
      </c>
      <c r="W51" s="55" t="n">
        <f aca="false">(W49-W45-W50)*W44</f>
        <v>-14400</v>
      </c>
      <c r="X51" s="55" t="n">
        <f aca="false">(X49-X45-X50)*X44</f>
        <v>-14400</v>
      </c>
      <c r="Y51" s="55" t="n">
        <f aca="false">(Y49-Y45-Y50)*Y44</f>
        <v>-0</v>
      </c>
      <c r="Z51" s="55" t="n">
        <f aca="false">(Z49-Z45-Z50)*Z44</f>
        <v>-0</v>
      </c>
      <c r="AA51" s="55" t="n">
        <f aca="false">(AA49-AA45-AA50)*AA44</f>
        <v>-0</v>
      </c>
      <c r="AB51" s="55" t="n">
        <f aca="false">(AB49-AB45-AB50)*AB44</f>
        <v>-0</v>
      </c>
      <c r="AC51" s="55" t="n">
        <f aca="false">(AC49-AC45-AC50)*AC44</f>
        <v>-0</v>
      </c>
      <c r="AD51" s="55" t="n">
        <f aca="false">(AD49-AD45-AD50)*AD44</f>
        <v>-0</v>
      </c>
      <c r="AE51" s="55" t="n">
        <f aca="false">(AE49-AE45-AE50)*AE44</f>
        <v>-0</v>
      </c>
      <c r="AF51" s="55" t="n">
        <f aca="false">(AF49-AF45-AF50)*AF44</f>
        <v>-0</v>
      </c>
      <c r="AG51" s="55" t="n">
        <f aca="false">(AG49-AG45-AG50)*AG44</f>
        <v>-0</v>
      </c>
      <c r="AH51" s="55" t="n">
        <f aca="false">(AH49-AH45-AH50)*AH44</f>
        <v>-0</v>
      </c>
    </row>
    <row r="52" customFormat="false" ht="15" hidden="false" customHeight="true" outlineLevel="0" collapsed="false">
      <c r="A52" s="33" t="s">
        <v>1412</v>
      </c>
      <c r="C52" s="46" t="n">
        <f aca="false">SUMPRODUCT(D52:AH52,D$5:AH$5)</f>
        <v>0</v>
      </c>
      <c r="D52" s="52" t="n">
        <f aca="false">0</f>
        <v>0</v>
      </c>
      <c r="E52" s="52" t="n">
        <f aca="false">0</f>
        <v>0</v>
      </c>
      <c r="F52" s="52" t="n">
        <f aca="false">0</f>
        <v>0</v>
      </c>
      <c r="G52" s="52" t="n">
        <f aca="false">0</f>
        <v>0</v>
      </c>
      <c r="H52" s="52" t="n">
        <f aca="false">0</f>
        <v>0</v>
      </c>
      <c r="I52" s="52" t="n">
        <f aca="false">0</f>
        <v>0</v>
      </c>
      <c r="J52" s="52" t="n">
        <f aca="false">0</f>
        <v>0</v>
      </c>
      <c r="K52" s="52" t="n">
        <f aca="false">0</f>
        <v>0</v>
      </c>
      <c r="L52" s="52" t="n">
        <f aca="false">0</f>
        <v>0</v>
      </c>
      <c r="M52" s="52" t="n">
        <f aca="false">0</f>
        <v>0</v>
      </c>
      <c r="N52" s="52" t="n">
        <f aca="false">0</f>
        <v>0</v>
      </c>
      <c r="O52" s="52" t="n">
        <f aca="false">0</f>
        <v>0</v>
      </c>
      <c r="P52" s="52" t="n">
        <f aca="false">0</f>
        <v>0</v>
      </c>
      <c r="Q52" s="52" t="n">
        <f aca="false">0</f>
        <v>0</v>
      </c>
      <c r="R52" s="52" t="n">
        <f aca="false">0</f>
        <v>0</v>
      </c>
      <c r="S52" s="52" t="n">
        <f aca="false">0</f>
        <v>0</v>
      </c>
      <c r="T52" s="52" t="n">
        <f aca="false">0</f>
        <v>0</v>
      </c>
      <c r="U52" s="52" t="n">
        <f aca="false">0</f>
        <v>0</v>
      </c>
      <c r="V52" s="52" t="n">
        <f aca="false">0</f>
        <v>0</v>
      </c>
      <c r="W52" s="52" t="n">
        <f aca="false">0</f>
        <v>0</v>
      </c>
      <c r="X52" s="52" t="n">
        <f aca="false">0</f>
        <v>0</v>
      </c>
      <c r="Y52" s="52" t="n">
        <f aca="false">0</f>
        <v>0</v>
      </c>
      <c r="Z52" s="52" t="n">
        <f aca="false">0</f>
        <v>0</v>
      </c>
      <c r="AA52" s="52" t="n">
        <f aca="false">0</f>
        <v>0</v>
      </c>
      <c r="AB52" s="52" t="n">
        <f aca="false">0</f>
        <v>0</v>
      </c>
      <c r="AC52" s="52" t="n">
        <f aca="false">0</f>
        <v>0</v>
      </c>
      <c r="AD52" s="52" t="n">
        <f aca="false">0</f>
        <v>0</v>
      </c>
      <c r="AE52" s="52" t="n">
        <f aca="false">0</f>
        <v>0</v>
      </c>
      <c r="AF52" s="52" t="n">
        <f aca="false">0</f>
        <v>0</v>
      </c>
      <c r="AG52" s="52" t="n">
        <f aca="false">0</f>
        <v>0</v>
      </c>
      <c r="AH52" s="52" t="n">
        <f aca="false">0</f>
        <v>0</v>
      </c>
    </row>
    <row r="53" customFormat="false" ht="15" hidden="false" customHeight="true" outlineLevel="0" collapsed="false">
      <c r="A53" s="33" t="s">
        <v>1413</v>
      </c>
      <c r="C53" s="46" t="n">
        <f aca="false">SUMPRODUCT(D53:AH53,D$5:AH$5)</f>
        <v>0</v>
      </c>
      <c r="D53" s="52" t="n">
        <f aca="false">D46*D44</f>
        <v>0</v>
      </c>
      <c r="E53" s="52" t="n">
        <f aca="false">E46*E44</f>
        <v>0</v>
      </c>
      <c r="F53" s="52" t="n">
        <f aca="false">F46*F44</f>
        <v>0</v>
      </c>
      <c r="G53" s="52" t="n">
        <f aca="false">G46*G44</f>
        <v>0</v>
      </c>
      <c r="H53" s="52" t="n">
        <f aca="false">H46*H44</f>
        <v>0</v>
      </c>
      <c r="I53" s="52" t="n">
        <f aca="false">I46*I44</f>
        <v>0</v>
      </c>
      <c r="J53" s="52" t="n">
        <f aca="false">J46*J44</f>
        <v>0</v>
      </c>
      <c r="K53" s="52" t="n">
        <f aca="false">K46*K44</f>
        <v>0</v>
      </c>
      <c r="L53" s="52" t="n">
        <f aca="false">L46*L44</f>
        <v>0</v>
      </c>
      <c r="M53" s="52" t="n">
        <f aca="false">M46*M44</f>
        <v>0</v>
      </c>
      <c r="N53" s="52" t="n">
        <f aca="false">N46*N44</f>
        <v>0</v>
      </c>
      <c r="O53" s="52" t="n">
        <f aca="false">O46*O44</f>
        <v>0</v>
      </c>
      <c r="P53" s="52" t="n">
        <f aca="false">P46*P44</f>
        <v>0</v>
      </c>
      <c r="Q53" s="52" t="n">
        <f aca="false">Q46*Q44</f>
        <v>0</v>
      </c>
      <c r="R53" s="52" t="n">
        <f aca="false">R46*R44</f>
        <v>0</v>
      </c>
      <c r="S53" s="52" t="n">
        <f aca="false">S46*S44</f>
        <v>0</v>
      </c>
      <c r="T53" s="52" t="n">
        <f aca="false">T46*T44</f>
        <v>0</v>
      </c>
      <c r="U53" s="52" t="n">
        <f aca="false">U46*U44</f>
        <v>0</v>
      </c>
      <c r="V53" s="52" t="n">
        <f aca="false">V46*V44</f>
        <v>0</v>
      </c>
      <c r="W53" s="52" t="n">
        <f aca="false">W46*W44</f>
        <v>0</v>
      </c>
      <c r="X53" s="52" t="n">
        <f aca="false">X46*X44</f>
        <v>0</v>
      </c>
      <c r="Y53" s="52" t="n">
        <f aca="false">Y46*Y44</f>
        <v>0</v>
      </c>
      <c r="Z53" s="52" t="n">
        <f aca="false">Z46*Z44</f>
        <v>0</v>
      </c>
      <c r="AA53" s="52" t="n">
        <f aca="false">AA46*AA44</f>
        <v>0</v>
      </c>
      <c r="AB53" s="52" t="n">
        <f aca="false">AB46*AB44</f>
        <v>0</v>
      </c>
      <c r="AC53" s="52" t="n">
        <f aca="false">AC46*AC44</f>
        <v>0</v>
      </c>
      <c r="AD53" s="52" t="n">
        <f aca="false">AD46*AD44</f>
        <v>0</v>
      </c>
      <c r="AE53" s="52" t="n">
        <f aca="false">AE46*AE44</f>
        <v>0</v>
      </c>
      <c r="AF53" s="52" t="n">
        <f aca="false">AF46*AF44</f>
        <v>0</v>
      </c>
      <c r="AG53" s="52" t="n">
        <f aca="false">AG46*AG44</f>
        <v>0</v>
      </c>
      <c r="AH53" s="52" t="n">
        <f aca="false">AH46*AH44</f>
        <v>0</v>
      </c>
    </row>
    <row r="55" customFormat="false" ht="15" hidden="false" customHeight="true" outlineLevel="0" collapsed="false">
      <c r="A55" s="53" t="s">
        <v>1416</v>
      </c>
      <c r="B55" s="58" t="s">
        <v>1403</v>
      </c>
      <c r="C55" s="59" t="n">
        <f aca="false">in_G02a</f>
        <v>20</v>
      </c>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row>
    <row r="56" customFormat="false" ht="15" hidden="false" customHeight="true" outlineLevel="0" collapsed="false">
      <c r="A56" s="33" t="s">
        <v>1404</v>
      </c>
      <c r="D56" s="61" t="n">
        <f aca="false">IF(D$3&lt;=in_G02a,1,0)</f>
        <v>1</v>
      </c>
      <c r="E56" s="61" t="n">
        <f aca="false">IF(E$3&lt;=in_G02a,1,0)</f>
        <v>1</v>
      </c>
      <c r="F56" s="61" t="n">
        <f aca="false">IF(F$3&lt;=in_G02a,1,0)</f>
        <v>1</v>
      </c>
      <c r="G56" s="61" t="n">
        <f aca="false">IF(G$3&lt;=in_G02a,1,0)</f>
        <v>1</v>
      </c>
      <c r="H56" s="61" t="n">
        <f aca="false">IF(H$3&lt;=in_G02a,1,0)</f>
        <v>1</v>
      </c>
      <c r="I56" s="61" t="n">
        <f aca="false">IF(I$3&lt;=in_G02a,1,0)</f>
        <v>1</v>
      </c>
      <c r="J56" s="61" t="n">
        <f aca="false">IF(J$3&lt;=in_G02a,1,0)</f>
        <v>1</v>
      </c>
      <c r="K56" s="61" t="n">
        <f aca="false">IF(K$3&lt;=in_G02a,1,0)</f>
        <v>1</v>
      </c>
      <c r="L56" s="61" t="n">
        <f aca="false">IF(L$3&lt;=in_G02a,1,0)</f>
        <v>1</v>
      </c>
      <c r="M56" s="61" t="n">
        <f aca="false">IF(M$3&lt;=in_G02a,1,0)</f>
        <v>1</v>
      </c>
      <c r="N56" s="61" t="n">
        <f aca="false">IF(N$3&lt;=in_G02a,1,0)</f>
        <v>1</v>
      </c>
      <c r="O56" s="61" t="n">
        <f aca="false">IF(O$3&lt;=in_G02a,1,0)</f>
        <v>1</v>
      </c>
      <c r="P56" s="61" t="n">
        <f aca="false">IF(P$3&lt;=in_G02a,1,0)</f>
        <v>1</v>
      </c>
      <c r="Q56" s="61" t="n">
        <f aca="false">IF(Q$3&lt;=in_G02a,1,0)</f>
        <v>1</v>
      </c>
      <c r="R56" s="61" t="n">
        <f aca="false">IF(R$3&lt;=in_G02a,1,0)</f>
        <v>1</v>
      </c>
      <c r="S56" s="61" t="n">
        <f aca="false">IF(S$3&lt;=in_G02a,1,0)</f>
        <v>1</v>
      </c>
      <c r="T56" s="61" t="n">
        <f aca="false">IF(T$3&lt;=in_G02a,1,0)</f>
        <v>1</v>
      </c>
      <c r="U56" s="61" t="n">
        <f aca="false">IF(U$3&lt;=in_G02a,1,0)</f>
        <v>1</v>
      </c>
      <c r="V56" s="61" t="n">
        <f aca="false">IF(V$3&lt;=in_G02a,1,0)</f>
        <v>1</v>
      </c>
      <c r="W56" s="61" t="n">
        <f aca="false">IF(W$3&lt;=in_G02a,1,0)</f>
        <v>1</v>
      </c>
      <c r="X56" s="61" t="n">
        <f aca="false">IF(X$3&lt;=in_G02a,1,0)</f>
        <v>1</v>
      </c>
      <c r="Y56" s="61" t="n">
        <f aca="false">IF(Y$3&lt;=in_G02a,1,0)</f>
        <v>0</v>
      </c>
      <c r="Z56" s="61" t="n">
        <f aca="false">IF(Z$3&lt;=in_G02a,1,0)</f>
        <v>0</v>
      </c>
      <c r="AA56" s="61" t="n">
        <f aca="false">IF(AA$3&lt;=in_G02a,1,0)</f>
        <v>0</v>
      </c>
      <c r="AB56" s="61" t="n">
        <f aca="false">IF(AB$3&lt;=in_G02a,1,0)</f>
        <v>0</v>
      </c>
      <c r="AC56" s="61" t="n">
        <f aca="false">IF(AC$3&lt;=in_G02a,1,0)</f>
        <v>0</v>
      </c>
      <c r="AD56" s="61" t="n">
        <f aca="false">IF(AD$3&lt;=in_G02a,1,0)</f>
        <v>0</v>
      </c>
      <c r="AE56" s="61" t="n">
        <f aca="false">IF(AE$3&lt;=in_G02a,1,0)</f>
        <v>0</v>
      </c>
      <c r="AF56" s="61" t="n">
        <f aca="false">IF(AF$3&lt;=in_G02a,1,0)</f>
        <v>0</v>
      </c>
      <c r="AG56" s="61" t="n">
        <f aca="false">IF(AG$3&lt;=in_G02a,1,0)</f>
        <v>0</v>
      </c>
      <c r="AH56" s="61" t="n">
        <f aca="false">IF(AH$3&lt;=in_G02a,1,0)</f>
        <v>0</v>
      </c>
    </row>
    <row r="57" customFormat="false" ht="15" hidden="false" customHeight="true" outlineLevel="0" collapsed="false">
      <c r="A57" s="33" t="s">
        <v>1405</v>
      </c>
      <c r="C57" s="46" t="n">
        <f aca="false">SUMPRODUCT(D57:AH57,D$5:AH$5)</f>
        <v>59917.1711130208</v>
      </c>
      <c r="D57" s="52" t="n">
        <f aca="false">IF(AND(MOD(D$3,in_S03)=0,D$3&lt;in_G02a),in_S05*in_S01*(1-in_P02),0)</f>
        <v>30000</v>
      </c>
      <c r="E57" s="52" t="n">
        <f aca="false">IF(AND(MOD(E$3,in_S03)=0,E$3&lt;in_G02a),in_S05*in_S01*(1-in_P02),0)</f>
        <v>0</v>
      </c>
      <c r="F57" s="52" t="n">
        <f aca="false">IF(AND(MOD(F$3,in_S03)=0,F$3&lt;in_G02a),in_S05*in_S01*(1-in_P02),0)</f>
        <v>0</v>
      </c>
      <c r="G57" s="52" t="n">
        <f aca="false">IF(AND(MOD(G$3,in_S03)=0,G$3&lt;in_G02a),in_S05*in_S01*(1-in_P02),0)</f>
        <v>0</v>
      </c>
      <c r="H57" s="52" t="n">
        <f aca="false">IF(AND(MOD(H$3,in_S03)=0,H$3&lt;in_G02a),in_S05*in_S01*(1-in_P02),0)</f>
        <v>0</v>
      </c>
      <c r="I57" s="52" t="n">
        <f aca="false">IF(AND(MOD(I$3,in_S03)=0,I$3&lt;in_G02a),in_S05*in_S01*(1-in_P02),0)</f>
        <v>30000</v>
      </c>
      <c r="J57" s="52" t="n">
        <f aca="false">IF(AND(MOD(J$3,in_S03)=0,J$3&lt;in_G02a),in_S05*in_S01*(1-in_P02),0)</f>
        <v>0</v>
      </c>
      <c r="K57" s="52" t="n">
        <f aca="false">IF(AND(MOD(K$3,in_S03)=0,K$3&lt;in_G02a),in_S05*in_S01*(1-in_P02),0)</f>
        <v>0</v>
      </c>
      <c r="L57" s="52" t="n">
        <f aca="false">IF(AND(MOD(L$3,in_S03)=0,L$3&lt;in_G02a),in_S05*in_S01*(1-in_P02),0)</f>
        <v>0</v>
      </c>
      <c r="M57" s="52" t="n">
        <f aca="false">IF(AND(MOD(M$3,in_S03)=0,M$3&lt;in_G02a),in_S05*in_S01*(1-in_P02),0)</f>
        <v>0</v>
      </c>
      <c r="N57" s="52" t="n">
        <f aca="false">IF(AND(MOD(N$3,in_S03)=0,N$3&lt;in_G02a),in_S05*in_S01*(1-in_P02),0)</f>
        <v>30000</v>
      </c>
      <c r="O57" s="52" t="n">
        <f aca="false">IF(AND(MOD(O$3,in_S03)=0,O$3&lt;in_G02a),in_S05*in_S01*(1-in_P02),0)</f>
        <v>0</v>
      </c>
      <c r="P57" s="52" t="n">
        <f aca="false">IF(AND(MOD(P$3,in_S03)=0,P$3&lt;in_G02a),in_S05*in_S01*(1-in_P02),0)</f>
        <v>0</v>
      </c>
      <c r="Q57" s="52" t="n">
        <f aca="false">IF(AND(MOD(Q$3,in_S03)=0,Q$3&lt;in_G02a),in_S05*in_S01*(1-in_P02),0)</f>
        <v>0</v>
      </c>
      <c r="R57" s="52" t="n">
        <f aca="false">IF(AND(MOD(R$3,in_S03)=0,R$3&lt;in_G02a),in_S05*in_S01*(1-in_P02),0)</f>
        <v>0</v>
      </c>
      <c r="S57" s="52" t="n">
        <f aca="false">IF(AND(MOD(S$3,in_S03)=0,S$3&lt;in_G02a),in_S05*in_S01*(1-in_P02),0)</f>
        <v>30000</v>
      </c>
      <c r="T57" s="52" t="n">
        <f aca="false">IF(AND(MOD(T$3,in_S03)=0,T$3&lt;in_G02a),in_S05*in_S01*(1-in_P02),0)</f>
        <v>0</v>
      </c>
      <c r="U57" s="52" t="n">
        <f aca="false">IF(AND(MOD(U$3,in_S03)=0,U$3&lt;in_G02a),in_S05*in_S01*(1-in_P02),0)</f>
        <v>0</v>
      </c>
      <c r="V57" s="52" t="n">
        <f aca="false">IF(AND(MOD(V$3,in_S03)=0,V$3&lt;in_G02a),in_S05*in_S01*(1-in_P02),0)</f>
        <v>0</v>
      </c>
      <c r="W57" s="52" t="n">
        <f aca="false">IF(AND(MOD(W$3,in_S03)=0,W$3&lt;in_G02a),in_S05*in_S01*(1-in_P02),0)</f>
        <v>0</v>
      </c>
      <c r="X57" s="52" t="n">
        <f aca="false">IF(AND(MOD(X$3,in_S03)=0,X$3&lt;in_G02a),in_S05*in_S01*(1-in_P02),0)</f>
        <v>0</v>
      </c>
      <c r="Y57" s="52" t="n">
        <f aca="false">IF(AND(MOD(Y$3,in_S03)=0,Y$3&lt;in_G02a),in_S05*in_S01*(1-in_P02),0)</f>
        <v>0</v>
      </c>
      <c r="Z57" s="52" t="n">
        <f aca="false">IF(AND(MOD(Z$3,in_S03)=0,Z$3&lt;in_G02a),in_S05*in_S01*(1-in_P02),0)</f>
        <v>0</v>
      </c>
      <c r="AA57" s="52" t="n">
        <f aca="false">IF(AND(MOD(AA$3,in_S03)=0,AA$3&lt;in_G02a),in_S05*in_S01*(1-in_P02),0)</f>
        <v>0</v>
      </c>
      <c r="AB57" s="52" t="n">
        <f aca="false">IF(AND(MOD(AB$3,in_S03)=0,AB$3&lt;in_G02a),in_S05*in_S01*(1-in_P02),0)</f>
        <v>0</v>
      </c>
      <c r="AC57" s="52" t="n">
        <f aca="false">IF(AND(MOD(AC$3,in_S03)=0,AC$3&lt;in_G02a),in_S05*in_S01*(1-in_P02),0)</f>
        <v>0</v>
      </c>
      <c r="AD57" s="52" t="n">
        <f aca="false">IF(AND(MOD(AD$3,in_S03)=0,AD$3&lt;in_G02a),in_S05*in_S01*(1-in_P02),0)</f>
        <v>0</v>
      </c>
      <c r="AE57" s="52" t="n">
        <f aca="false">IF(AND(MOD(AE$3,in_S03)=0,AE$3&lt;in_G02a),in_S05*in_S01*(1-in_P02),0)</f>
        <v>0</v>
      </c>
      <c r="AF57" s="52" t="n">
        <f aca="false">IF(AND(MOD(AF$3,in_S03)=0,AF$3&lt;in_G02a),in_S05*in_S01*(1-in_P02),0)</f>
        <v>0</v>
      </c>
      <c r="AG57" s="52" t="n">
        <f aca="false">IF(AND(MOD(AG$3,in_S03)=0,AG$3&lt;in_G02a),in_S05*in_S01*(1-in_P02),0)</f>
        <v>0</v>
      </c>
      <c r="AH57" s="52" t="n">
        <f aca="false">IF(AND(MOD(AH$3,in_S03)=0,AH$3&lt;in_G02a),in_S05*in_S01*(1-in_P02),0)</f>
        <v>0</v>
      </c>
    </row>
    <row r="58" customFormat="false" ht="15" hidden="false" customHeight="true" outlineLevel="0" collapsed="false">
      <c r="A58" s="33" t="s">
        <v>1406</v>
      </c>
      <c r="D58" s="52" t="n">
        <f aca="false">Supply!D36</f>
        <v>0</v>
      </c>
      <c r="E58" s="52" t="n">
        <f aca="false">Supply!E36</f>
        <v>1833.42263902959</v>
      </c>
      <c r="F58" s="52" t="n">
        <f aca="false">Supply!F36</f>
        <v>1833.42263902959</v>
      </c>
      <c r="G58" s="52" t="n">
        <f aca="false">Supply!G36</f>
        <v>1833.42263902959</v>
      </c>
      <c r="H58" s="52" t="n">
        <f aca="false">Supply!H36</f>
        <v>1833.42263902959</v>
      </c>
      <c r="I58" s="52" t="n">
        <f aca="false">Supply!I36</f>
        <v>1833.42263902959</v>
      </c>
      <c r="J58" s="52" t="n">
        <f aca="false">Supply!J36</f>
        <v>1833.42263902959</v>
      </c>
      <c r="K58" s="52" t="n">
        <f aca="false">Supply!K36</f>
        <v>1833.42263902959</v>
      </c>
      <c r="L58" s="52" t="n">
        <f aca="false">Supply!L36</f>
        <v>1833.42263902959</v>
      </c>
      <c r="M58" s="52" t="n">
        <f aca="false">Supply!M36</f>
        <v>1833.42263902959</v>
      </c>
      <c r="N58" s="52" t="n">
        <f aca="false">Supply!N36</f>
        <v>1833.42263902959</v>
      </c>
      <c r="O58" s="52" t="n">
        <f aca="false">Supply!O36</f>
        <v>1833.42263902959</v>
      </c>
      <c r="P58" s="52" t="n">
        <f aca="false">Supply!P36</f>
        <v>1833.42263902959</v>
      </c>
      <c r="Q58" s="52" t="n">
        <f aca="false">Supply!Q36</f>
        <v>1833.42263902959</v>
      </c>
      <c r="R58" s="52" t="n">
        <f aca="false">Supply!R36</f>
        <v>1833.42263902959</v>
      </c>
      <c r="S58" s="52" t="n">
        <f aca="false">Supply!S36</f>
        <v>3151.35262108382</v>
      </c>
      <c r="T58" s="52" t="n">
        <f aca="false">Supply!T36</f>
        <v>8692.9656764094</v>
      </c>
      <c r="U58" s="52" t="n">
        <f aca="false">Supply!U36</f>
        <v>11212.3052554411</v>
      </c>
      <c r="V58" s="52" t="n">
        <f aca="false">Supply!V36</f>
        <v>11598.6002871529</v>
      </c>
      <c r="W58" s="52" t="n">
        <f aca="false">Supply!W36</f>
        <v>11971.6154186468</v>
      </c>
      <c r="X58" s="52" t="n">
        <f aca="false">Supply!X36</f>
        <v>12331.650902335</v>
      </c>
      <c r="Y58" s="52" t="n">
        <f aca="false">Supply!Y36</f>
        <v>12679.0011226158</v>
      </c>
      <c r="Z58" s="52" t="n">
        <f aca="false">Supply!Z36</f>
        <v>13013.9547023108</v>
      </c>
      <c r="AA58" s="52" t="n">
        <f aca="false">Supply!AA36</f>
        <v>13336.7946072572</v>
      </c>
      <c r="AB58" s="52" t="n">
        <f aca="false">Supply!AB36</f>
        <v>13647.7982490854</v>
      </c>
      <c r="AC58" s="52" t="n">
        <f aca="false">Supply!AC36</f>
        <v>13947.2375862136</v>
      </c>
      <c r="AD58" s="52" t="n">
        <f aca="false">Supply!AD36</f>
        <v>14235.3792230881</v>
      </c>
      <c r="AE58" s="52" t="n">
        <f aca="false">Supply!AE36</f>
        <v>14512.4845077005</v>
      </c>
      <c r="AF58" s="52" t="n">
        <f aca="false">Supply!AF36</f>
        <v>14778.8096274088</v>
      </c>
      <c r="AG58" s="52" t="n">
        <f aca="false">Supply!AG36</f>
        <v>15034.6057030926</v>
      </c>
      <c r="AH58" s="52" t="n">
        <f aca="false">Supply!AH36</f>
        <v>15280.1188816698</v>
      </c>
    </row>
    <row r="59" customFormat="false" ht="15" hidden="false" customHeight="true" outlineLevel="0" collapsed="false">
      <c r="A59" s="33" t="s">
        <v>1407</v>
      </c>
      <c r="D59" s="52" t="n">
        <f aca="false">IF(D$3=0,0,in_G08*in_S05*in_S10*in_S08*(1-in_B08))</f>
        <v>0</v>
      </c>
      <c r="E59" s="52" t="n">
        <f aca="false">IF(E$3=0,0,in_G08*in_S05*in_S10*in_S08*(1-in_B08))</f>
        <v>0</v>
      </c>
      <c r="F59" s="52" t="n">
        <f aca="false">IF(F$3=0,0,in_G08*in_S05*in_S10*in_S08*(1-in_B08))</f>
        <v>0</v>
      </c>
      <c r="G59" s="52" t="n">
        <f aca="false">IF(G$3=0,0,in_G08*in_S05*in_S10*in_S08*(1-in_B08))</f>
        <v>0</v>
      </c>
      <c r="H59" s="52" t="n">
        <f aca="false">IF(H$3=0,0,in_G08*in_S05*in_S10*in_S08*(1-in_B08))</f>
        <v>0</v>
      </c>
      <c r="I59" s="52" t="n">
        <f aca="false">IF(I$3=0,0,in_G08*in_S05*in_S10*in_S08*(1-in_B08))</f>
        <v>0</v>
      </c>
      <c r="J59" s="52" t="n">
        <f aca="false">IF(J$3=0,0,in_G08*in_S05*in_S10*in_S08*(1-in_B08))</f>
        <v>0</v>
      </c>
      <c r="K59" s="52" t="n">
        <f aca="false">IF(K$3=0,0,in_G08*in_S05*in_S10*in_S08*(1-in_B08))</f>
        <v>0</v>
      </c>
      <c r="L59" s="52" t="n">
        <f aca="false">IF(L$3=0,0,in_G08*in_S05*in_S10*in_S08*(1-in_B08))</f>
        <v>0</v>
      </c>
      <c r="M59" s="52" t="n">
        <f aca="false">IF(M$3=0,0,in_G08*in_S05*in_S10*in_S08*(1-in_B08))</f>
        <v>0</v>
      </c>
      <c r="N59" s="52" t="n">
        <f aca="false">IF(N$3=0,0,in_G08*in_S05*in_S10*in_S08*(1-in_B08))</f>
        <v>0</v>
      </c>
      <c r="O59" s="52" t="n">
        <f aca="false">IF(O$3=0,0,in_G08*in_S05*in_S10*in_S08*(1-in_B08))</f>
        <v>0</v>
      </c>
      <c r="P59" s="52" t="n">
        <f aca="false">IF(P$3=0,0,in_G08*in_S05*in_S10*in_S08*(1-in_B08))</f>
        <v>0</v>
      </c>
      <c r="Q59" s="52" t="n">
        <f aca="false">IF(Q$3=0,0,in_G08*in_S05*in_S10*in_S08*(1-in_B08))</f>
        <v>0</v>
      </c>
      <c r="R59" s="52" t="n">
        <f aca="false">IF(R$3=0,0,in_G08*in_S05*in_S10*in_S08*(1-in_B08))</f>
        <v>0</v>
      </c>
      <c r="S59" s="52" t="n">
        <f aca="false">IF(S$3=0,0,in_G08*in_S05*in_S10*in_S08*(1-in_B08))</f>
        <v>0</v>
      </c>
      <c r="T59" s="52" t="n">
        <f aca="false">IF(T$3=0,0,in_G08*in_S05*in_S10*in_S08*(1-in_B08))</f>
        <v>0</v>
      </c>
      <c r="U59" s="52" t="n">
        <f aca="false">IF(U$3=0,0,in_G08*in_S05*in_S10*in_S08*(1-in_B08))</f>
        <v>0</v>
      </c>
      <c r="V59" s="52" t="n">
        <f aca="false">IF(V$3=0,0,in_G08*in_S05*in_S10*in_S08*(1-in_B08))</f>
        <v>0</v>
      </c>
      <c r="W59" s="52" t="n">
        <f aca="false">IF(W$3=0,0,in_G08*in_S05*in_S10*in_S08*(1-in_B08))</f>
        <v>0</v>
      </c>
      <c r="X59" s="52" t="n">
        <f aca="false">IF(X$3=0,0,in_G08*in_S05*in_S10*in_S08*(1-in_B08))</f>
        <v>0</v>
      </c>
      <c r="Y59" s="52" t="n">
        <f aca="false">IF(Y$3=0,0,in_G08*in_S05*in_S10*in_S08*(1-in_B08))</f>
        <v>0</v>
      </c>
      <c r="Z59" s="52" t="n">
        <f aca="false">IF(Z$3=0,0,in_G08*in_S05*in_S10*in_S08*(1-in_B08))</f>
        <v>0</v>
      </c>
      <c r="AA59" s="52" t="n">
        <f aca="false">IF(AA$3=0,0,in_G08*in_S05*in_S10*in_S08*(1-in_B08))</f>
        <v>0</v>
      </c>
      <c r="AB59" s="52" t="n">
        <f aca="false">IF(AB$3=0,0,in_G08*in_S05*in_S10*in_S08*(1-in_B08))</f>
        <v>0</v>
      </c>
      <c r="AC59" s="52" t="n">
        <f aca="false">IF(AC$3=0,0,in_G08*in_S05*in_S10*in_S08*(1-in_B08))</f>
        <v>0</v>
      </c>
      <c r="AD59" s="52" t="n">
        <f aca="false">IF(AD$3=0,0,in_G08*in_S05*in_S10*in_S08*(1-in_B08))</f>
        <v>0</v>
      </c>
      <c r="AE59" s="52" t="n">
        <f aca="false">IF(AE$3=0,0,in_G08*in_S05*in_S10*in_S08*(1-in_B08))</f>
        <v>0</v>
      </c>
      <c r="AF59" s="52" t="n">
        <f aca="false">IF(AF$3=0,0,in_G08*in_S05*in_S10*in_S08*(1-in_B08))</f>
        <v>0</v>
      </c>
      <c r="AG59" s="52" t="n">
        <f aca="false">IF(AG$3=0,0,in_G08*in_S05*in_S10*in_S08*(1-in_B08))</f>
        <v>0</v>
      </c>
      <c r="AH59" s="52" t="n">
        <f aca="false">IF(AH$3=0,0,in_G08*in_S05*in_S10*in_S08*(1-in_B08))</f>
        <v>0</v>
      </c>
    </row>
    <row r="60" customFormat="false" ht="15" hidden="false" customHeight="true" outlineLevel="0" collapsed="false">
      <c r="A60" s="33" t="s">
        <v>1408</v>
      </c>
      <c r="D60" s="52" t="n">
        <f aca="false">0</f>
        <v>0</v>
      </c>
      <c r="E60" s="52" t="n">
        <f aca="false">0</f>
        <v>0</v>
      </c>
      <c r="F60" s="52" t="n">
        <f aca="false">0</f>
        <v>0</v>
      </c>
      <c r="G60" s="52" t="n">
        <f aca="false">0</f>
        <v>0</v>
      </c>
      <c r="H60" s="52" t="n">
        <f aca="false">0</f>
        <v>0</v>
      </c>
      <c r="I60" s="52" t="n">
        <f aca="false">0</f>
        <v>0</v>
      </c>
      <c r="J60" s="52" t="n">
        <f aca="false">0</f>
        <v>0</v>
      </c>
      <c r="K60" s="52" t="n">
        <f aca="false">0</f>
        <v>0</v>
      </c>
      <c r="L60" s="52" t="n">
        <f aca="false">0</f>
        <v>0</v>
      </c>
      <c r="M60" s="52" t="n">
        <f aca="false">0</f>
        <v>0</v>
      </c>
      <c r="N60" s="52" t="n">
        <f aca="false">0</f>
        <v>0</v>
      </c>
      <c r="O60" s="52" t="n">
        <f aca="false">0</f>
        <v>0</v>
      </c>
      <c r="P60" s="52" t="n">
        <f aca="false">0</f>
        <v>0</v>
      </c>
      <c r="Q60" s="52" t="n">
        <f aca="false">0</f>
        <v>0</v>
      </c>
      <c r="R60" s="52" t="n">
        <f aca="false">0</f>
        <v>0</v>
      </c>
      <c r="S60" s="52" t="n">
        <f aca="false">0</f>
        <v>0</v>
      </c>
      <c r="T60" s="52" t="n">
        <f aca="false">0</f>
        <v>0</v>
      </c>
      <c r="U60" s="52" t="n">
        <f aca="false">0</f>
        <v>0</v>
      </c>
      <c r="V60" s="52" t="n">
        <f aca="false">0</f>
        <v>0</v>
      </c>
      <c r="W60" s="52" t="n">
        <f aca="false">0</f>
        <v>0</v>
      </c>
      <c r="X60" s="52" t="n">
        <f aca="false">0</f>
        <v>0</v>
      </c>
      <c r="Y60" s="52" t="n">
        <f aca="false">0</f>
        <v>0</v>
      </c>
      <c r="Z60" s="52" t="n">
        <f aca="false">0</f>
        <v>0</v>
      </c>
      <c r="AA60" s="52" t="n">
        <f aca="false">0</f>
        <v>0</v>
      </c>
      <c r="AB60" s="52" t="n">
        <f aca="false">0</f>
        <v>0</v>
      </c>
      <c r="AC60" s="52" t="n">
        <f aca="false">0</f>
        <v>0</v>
      </c>
      <c r="AD60" s="52" t="n">
        <f aca="false">0</f>
        <v>0</v>
      </c>
      <c r="AE60" s="52" t="n">
        <f aca="false">0</f>
        <v>0</v>
      </c>
      <c r="AF60" s="52" t="n">
        <f aca="false">0</f>
        <v>0</v>
      </c>
      <c r="AG60" s="52" t="n">
        <f aca="false">0</f>
        <v>0</v>
      </c>
      <c r="AH60" s="52" t="n">
        <f aca="false">0</f>
        <v>0</v>
      </c>
    </row>
    <row r="61" customFormat="false" ht="15" hidden="false" customHeight="true" outlineLevel="0" collapsed="false">
      <c r="A61" s="33" t="s">
        <v>1409</v>
      </c>
      <c r="D61" s="52" t="n">
        <f aca="false">D58+D59-D60</f>
        <v>0</v>
      </c>
      <c r="E61" s="52" t="n">
        <f aca="false">E58+E59-E60</f>
        <v>1833.42263902959</v>
      </c>
      <c r="F61" s="52" t="n">
        <f aca="false">F58+F59-F60</f>
        <v>1833.42263902959</v>
      </c>
      <c r="G61" s="52" t="n">
        <f aca="false">G58+G59-G60</f>
        <v>1833.42263902959</v>
      </c>
      <c r="H61" s="52" t="n">
        <f aca="false">H58+H59-H60</f>
        <v>1833.42263902959</v>
      </c>
      <c r="I61" s="52" t="n">
        <f aca="false">I58+I59-I60</f>
        <v>1833.42263902959</v>
      </c>
      <c r="J61" s="52" t="n">
        <f aca="false">J58+J59-J60</f>
        <v>1833.42263902959</v>
      </c>
      <c r="K61" s="52" t="n">
        <f aca="false">K58+K59-K60</f>
        <v>1833.42263902959</v>
      </c>
      <c r="L61" s="52" t="n">
        <f aca="false">L58+L59-L60</f>
        <v>1833.42263902959</v>
      </c>
      <c r="M61" s="52" t="n">
        <f aca="false">M58+M59-M60</f>
        <v>1833.42263902959</v>
      </c>
      <c r="N61" s="52" t="n">
        <f aca="false">N58+N59-N60</f>
        <v>1833.42263902959</v>
      </c>
      <c r="O61" s="52" t="n">
        <f aca="false">O58+O59-O60</f>
        <v>1833.42263902959</v>
      </c>
      <c r="P61" s="52" t="n">
        <f aca="false">P58+P59-P60</f>
        <v>1833.42263902959</v>
      </c>
      <c r="Q61" s="52" t="n">
        <f aca="false">Q58+Q59-Q60</f>
        <v>1833.42263902959</v>
      </c>
      <c r="R61" s="52" t="n">
        <f aca="false">R58+R59-R60</f>
        <v>1833.42263902959</v>
      </c>
      <c r="S61" s="52" t="n">
        <f aca="false">S58+S59-S60</f>
        <v>3151.35262108382</v>
      </c>
      <c r="T61" s="52" t="n">
        <f aca="false">T58+T59-T60</f>
        <v>8692.9656764094</v>
      </c>
      <c r="U61" s="52" t="n">
        <f aca="false">U58+U59-U60</f>
        <v>11212.3052554411</v>
      </c>
      <c r="V61" s="52" t="n">
        <f aca="false">V58+V59-V60</f>
        <v>11598.6002871529</v>
      </c>
      <c r="W61" s="52" t="n">
        <f aca="false">W58+W59-W60</f>
        <v>11971.6154186468</v>
      </c>
      <c r="X61" s="52" t="n">
        <f aca="false">X58+X59-X60</f>
        <v>12331.650902335</v>
      </c>
      <c r="Y61" s="52" t="n">
        <f aca="false">Y58+Y59-Y60</f>
        <v>12679.0011226158</v>
      </c>
      <c r="Z61" s="52" t="n">
        <f aca="false">Z58+Z59-Z60</f>
        <v>13013.9547023108</v>
      </c>
      <c r="AA61" s="52" t="n">
        <f aca="false">AA58+AA59-AA60</f>
        <v>13336.7946072572</v>
      </c>
      <c r="AB61" s="52" t="n">
        <f aca="false">AB58+AB59-AB60</f>
        <v>13647.7982490854</v>
      </c>
      <c r="AC61" s="52" t="n">
        <f aca="false">AC58+AC59-AC60</f>
        <v>13947.2375862136</v>
      </c>
      <c r="AD61" s="52" t="n">
        <f aca="false">AD58+AD59-AD60</f>
        <v>14235.3792230881</v>
      </c>
      <c r="AE61" s="52" t="n">
        <f aca="false">AE58+AE59-AE60</f>
        <v>14512.4845077005</v>
      </c>
      <c r="AF61" s="52" t="n">
        <f aca="false">AF58+AF59-AF60</f>
        <v>14778.8096274088</v>
      </c>
      <c r="AG61" s="52" t="n">
        <f aca="false">AG58+AG59-AG60</f>
        <v>15034.6057030926</v>
      </c>
      <c r="AH61" s="52" t="n">
        <f aca="false">AH58+AH59-AH60</f>
        <v>15280.1188816698</v>
      </c>
    </row>
    <row r="62" customFormat="false" ht="15" hidden="false" customHeight="true" outlineLevel="0" collapsed="false">
      <c r="A62" s="33" t="s">
        <v>1410</v>
      </c>
      <c r="D62" s="52" t="n">
        <f aca="false">D$4*MAX(0,D61)</f>
        <v>0</v>
      </c>
      <c r="E62" s="52" t="n">
        <f aca="false">E$4*MAX(0,E61)</f>
        <v>0</v>
      </c>
      <c r="F62" s="52" t="n">
        <f aca="false">F$4*MAX(0,F61)</f>
        <v>0</v>
      </c>
      <c r="G62" s="52" t="n">
        <f aca="false">G$4*MAX(0,G61)</f>
        <v>0</v>
      </c>
      <c r="H62" s="52" t="n">
        <f aca="false">H$4*MAX(0,H61)</f>
        <v>0</v>
      </c>
      <c r="I62" s="52" t="n">
        <f aca="false">I$4*MAX(0,I61)</f>
        <v>0</v>
      </c>
      <c r="J62" s="52" t="n">
        <f aca="false">J$4*MAX(0,J61)</f>
        <v>0</v>
      </c>
      <c r="K62" s="52" t="n">
        <f aca="false">K$4*MAX(0,K61)</f>
        <v>0</v>
      </c>
      <c r="L62" s="52" t="n">
        <f aca="false">L$4*MAX(0,L61)</f>
        <v>0</v>
      </c>
      <c r="M62" s="52" t="n">
        <f aca="false">M$4*MAX(0,M61)</f>
        <v>0</v>
      </c>
      <c r="N62" s="52" t="n">
        <f aca="false">N$4*MAX(0,N61)</f>
        <v>0</v>
      </c>
      <c r="O62" s="52" t="n">
        <f aca="false">O$4*MAX(0,O61)</f>
        <v>302.514735439882</v>
      </c>
      <c r="P62" s="52" t="n">
        <f aca="false">P$4*MAX(0,P61)</f>
        <v>302.514735439882</v>
      </c>
      <c r="Q62" s="52" t="n">
        <f aca="false">Q$4*MAX(0,Q61)</f>
        <v>302.514735439882</v>
      </c>
      <c r="R62" s="52" t="n">
        <f aca="false">R$4*MAX(0,R61)</f>
        <v>302.514735439882</v>
      </c>
      <c r="S62" s="52" t="n">
        <f aca="false">S$4*MAX(0,S61)</f>
        <v>519.97318247883</v>
      </c>
      <c r="T62" s="52" t="n">
        <f aca="false">T$4*MAX(0,T61)</f>
        <v>1434.33933660755</v>
      </c>
      <c r="U62" s="52" t="n">
        <f aca="false">U$4*MAX(0,U61)</f>
        <v>1850.03036714778</v>
      </c>
      <c r="V62" s="52" t="n">
        <f aca="false">V$4*MAX(0,V61)</f>
        <v>1913.76904738023</v>
      </c>
      <c r="W62" s="52" t="n">
        <f aca="false">W$4*MAX(0,W61)</f>
        <v>1975.31654407673</v>
      </c>
      <c r="X62" s="52" t="n">
        <f aca="false">X$4*MAX(0,X61)</f>
        <v>2034.72239888528</v>
      </c>
      <c r="Y62" s="52" t="n">
        <f aca="false">Y$4*MAX(0,Y61)</f>
        <v>2092.0351852316</v>
      </c>
      <c r="Z62" s="52" t="n">
        <f aca="false">Z$4*MAX(0,Z61)</f>
        <v>2147.30252588129</v>
      </c>
      <c r="AA62" s="52" t="n">
        <f aca="false">AA$4*MAX(0,AA61)</f>
        <v>2200.57111019744</v>
      </c>
      <c r="AB62" s="52" t="n">
        <f aca="false">AB$4*MAX(0,AB61)</f>
        <v>2251.88671109909</v>
      </c>
      <c r="AC62" s="52" t="n">
        <f aca="false">AC$4*MAX(0,AC61)</f>
        <v>2301.29420172524</v>
      </c>
      <c r="AD62" s="52" t="n">
        <f aca="false">AD$4*MAX(0,AD61)</f>
        <v>2348.83757180954</v>
      </c>
      <c r="AE62" s="52" t="n">
        <f aca="false">AE$4*MAX(0,AE61)</f>
        <v>2394.55994377058</v>
      </c>
      <c r="AF62" s="52" t="n">
        <f aca="false">AF$4*MAX(0,AF61)</f>
        <v>2438.50358852245</v>
      </c>
      <c r="AG62" s="52" t="n">
        <f aca="false">AG$4*MAX(0,AG61)</f>
        <v>2480.70994101028</v>
      </c>
      <c r="AH62" s="52" t="n">
        <f aca="false">AH$4*MAX(0,AH61)</f>
        <v>2521.21961547552</v>
      </c>
    </row>
    <row r="63" customFormat="false" ht="15" hidden="false" customHeight="true" outlineLevel="0" collapsed="false">
      <c r="A63" s="33" t="s">
        <v>1411</v>
      </c>
      <c r="C63" s="55" t="n">
        <f aca="false">SUMPRODUCT(D63:AH63,D$5:AH$5)</f>
        <v>-43059.930983045</v>
      </c>
      <c r="D63" s="55" t="n">
        <f aca="false">(D61-D57-D62)*D56</f>
        <v>-30000</v>
      </c>
      <c r="E63" s="55" t="n">
        <f aca="false">(E61-E57-E62)*E56</f>
        <v>1833.42263902959</v>
      </c>
      <c r="F63" s="55" t="n">
        <f aca="false">(F61-F57-F62)*F56</f>
        <v>1833.42263902959</v>
      </c>
      <c r="G63" s="55" t="n">
        <f aca="false">(G61-G57-G62)*G56</f>
        <v>1833.42263902959</v>
      </c>
      <c r="H63" s="55" t="n">
        <f aca="false">(H61-H57-H62)*H56</f>
        <v>1833.42263902959</v>
      </c>
      <c r="I63" s="55" t="n">
        <f aca="false">(I61-I57-I62)*I56</f>
        <v>-28166.5773609704</v>
      </c>
      <c r="J63" s="55" t="n">
        <f aca="false">(J61-J57-J62)*J56</f>
        <v>1833.42263902959</v>
      </c>
      <c r="K63" s="55" t="n">
        <f aca="false">(K61-K57-K62)*K56</f>
        <v>1833.42263902959</v>
      </c>
      <c r="L63" s="55" t="n">
        <f aca="false">(L61-L57-L62)*L56</f>
        <v>1833.42263902959</v>
      </c>
      <c r="M63" s="55" t="n">
        <f aca="false">(M61-M57-M62)*M56</f>
        <v>1833.42263902959</v>
      </c>
      <c r="N63" s="55" t="n">
        <f aca="false">(N61-N57-N62)*N56</f>
        <v>-28166.5773609704</v>
      </c>
      <c r="O63" s="55" t="n">
        <f aca="false">(O61-O57-O62)*O56</f>
        <v>1530.90790358971</v>
      </c>
      <c r="P63" s="55" t="n">
        <f aca="false">(P61-P57-P62)*P56</f>
        <v>1530.90790358971</v>
      </c>
      <c r="Q63" s="55" t="n">
        <f aca="false">(Q61-Q57-Q62)*Q56</f>
        <v>1530.90790358971</v>
      </c>
      <c r="R63" s="55" t="n">
        <f aca="false">(R61-R57-R62)*R56</f>
        <v>1530.90790358971</v>
      </c>
      <c r="S63" s="55" t="n">
        <f aca="false">(S61-S57-S62)*S56</f>
        <v>-27368.620561395</v>
      </c>
      <c r="T63" s="55" t="n">
        <f aca="false">(T61-T57-T62)*T56</f>
        <v>7258.62633980185</v>
      </c>
      <c r="U63" s="55" t="n">
        <f aca="false">(U61-U57-U62)*U56</f>
        <v>9362.27488829331</v>
      </c>
      <c r="V63" s="55" t="n">
        <f aca="false">(V61-V57-V62)*V56</f>
        <v>9684.8312397727</v>
      </c>
      <c r="W63" s="55" t="n">
        <f aca="false">(W61-W57-W62)*W56</f>
        <v>9996.2988745701</v>
      </c>
      <c r="X63" s="55" t="n">
        <f aca="false">(X61-X57-X62)*X56</f>
        <v>10296.9285034497</v>
      </c>
      <c r="Y63" s="55" t="n">
        <f aca="false">(Y61-Y57-Y62)*Y56</f>
        <v>0</v>
      </c>
      <c r="Z63" s="55" t="n">
        <f aca="false">(Z61-Z57-Z62)*Z56</f>
        <v>0</v>
      </c>
      <c r="AA63" s="55" t="n">
        <f aca="false">(AA61-AA57-AA62)*AA56</f>
        <v>0</v>
      </c>
      <c r="AB63" s="55" t="n">
        <f aca="false">(AB61-AB57-AB62)*AB56</f>
        <v>0</v>
      </c>
      <c r="AC63" s="55" t="n">
        <f aca="false">(AC61-AC57-AC62)*AC56</f>
        <v>0</v>
      </c>
      <c r="AD63" s="55" t="n">
        <f aca="false">(AD61-AD57-AD62)*AD56</f>
        <v>0</v>
      </c>
      <c r="AE63" s="55" t="n">
        <f aca="false">(AE61-AE57-AE62)*AE56</f>
        <v>0</v>
      </c>
      <c r="AF63" s="55" t="n">
        <f aca="false">(AF61-AF57-AF62)*AF56</f>
        <v>0</v>
      </c>
      <c r="AG63" s="55" t="n">
        <f aca="false">(AG61-AG57-AG62)*AG56</f>
        <v>0</v>
      </c>
      <c r="AH63" s="55" t="n">
        <f aca="false">(AH61-AH57-AH62)*AH56</f>
        <v>0</v>
      </c>
    </row>
    <row r="64" customFormat="false" ht="15" hidden="false" customHeight="true" outlineLevel="0" collapsed="false">
      <c r="A64" s="33" t="s">
        <v>1412</v>
      </c>
      <c r="C64" s="46" t="n">
        <f aca="false">SUMPRODUCT(D64:AH64,D$5:AH$5)</f>
        <v>43272.4697208743</v>
      </c>
      <c r="D64" s="52" t="n">
        <f aca="false">(IF(D$3=0,0,MIN(in_C01,in_S05*in_S06)*in_S09*in_S02*in_S07))*D56</f>
        <v>0</v>
      </c>
      <c r="E64" s="52" t="n">
        <f aca="false">(IF(E$3=0,0,MIN(in_C01,in_S05*in_S06)*in_S09*in_S02*in_S07))*E56</f>
        <v>6160</v>
      </c>
      <c r="F64" s="52" t="n">
        <f aca="false">(IF(F$3=0,0,MIN(in_C01,in_S05*in_S06)*in_S09*in_S02*in_S07))*F56</f>
        <v>6160</v>
      </c>
      <c r="G64" s="52" t="n">
        <f aca="false">(IF(G$3=0,0,MIN(in_C01,in_S05*in_S06)*in_S09*in_S02*in_S07))*G56</f>
        <v>6160</v>
      </c>
      <c r="H64" s="52" t="n">
        <f aca="false">(IF(H$3=0,0,MIN(in_C01,in_S05*in_S06)*in_S09*in_S02*in_S07))*H56</f>
        <v>6160</v>
      </c>
      <c r="I64" s="52" t="n">
        <f aca="false">(IF(I$3=0,0,MIN(in_C01,in_S05*in_S06)*in_S09*in_S02*in_S07))*I56</f>
        <v>6160</v>
      </c>
      <c r="J64" s="52" t="n">
        <f aca="false">(IF(J$3=0,0,MIN(in_C01,in_S05*in_S06)*in_S09*in_S02*in_S07))*J56</f>
        <v>6160</v>
      </c>
      <c r="K64" s="52" t="n">
        <f aca="false">(IF(K$3=0,0,MIN(in_C01,in_S05*in_S06)*in_S09*in_S02*in_S07))*K56</f>
        <v>6160</v>
      </c>
      <c r="L64" s="52" t="n">
        <f aca="false">(IF(L$3=0,0,MIN(in_C01,in_S05*in_S06)*in_S09*in_S02*in_S07))*L56</f>
        <v>6160</v>
      </c>
      <c r="M64" s="52" t="n">
        <f aca="false">(IF(M$3=0,0,MIN(in_C01,in_S05*in_S06)*in_S09*in_S02*in_S07))*M56</f>
        <v>6160</v>
      </c>
      <c r="N64" s="52" t="n">
        <f aca="false">(IF(N$3=0,0,MIN(in_C01,in_S05*in_S06)*in_S09*in_S02*in_S07))*N56</f>
        <v>6160</v>
      </c>
      <c r="O64" s="52" t="n">
        <f aca="false">(IF(O$3=0,0,MIN(in_C01,in_S05*in_S06)*in_S09*in_S02*in_S07))*O56</f>
        <v>6160</v>
      </c>
      <c r="P64" s="52" t="n">
        <f aca="false">(IF(P$3=0,0,MIN(in_C01,in_S05*in_S06)*in_S09*in_S02*in_S07))*P56</f>
        <v>6160</v>
      </c>
      <c r="Q64" s="52" t="n">
        <f aca="false">(IF(Q$3=0,0,MIN(in_C01,in_S05*in_S06)*in_S09*in_S02*in_S07))*Q56</f>
        <v>6160</v>
      </c>
      <c r="R64" s="52" t="n">
        <f aca="false">(IF(R$3=0,0,MIN(in_C01,in_S05*in_S06)*in_S09*in_S02*in_S07))*R56</f>
        <v>6160</v>
      </c>
      <c r="S64" s="52" t="n">
        <f aca="false">(IF(S$3=0,0,MIN(in_C01,in_S05*in_S06)*in_S09*in_S02*in_S07))*S56</f>
        <v>6160</v>
      </c>
      <c r="T64" s="52" t="n">
        <f aca="false">(IF(T$3=0,0,MIN(in_C01,in_S05*in_S06)*in_S09*in_S02*in_S07))*T56</f>
        <v>6160</v>
      </c>
      <c r="U64" s="52" t="n">
        <f aca="false">(IF(U$3=0,0,MIN(in_C01,in_S05*in_S06)*in_S09*in_S02*in_S07))*U56</f>
        <v>6160</v>
      </c>
      <c r="V64" s="52" t="n">
        <f aca="false">(IF(V$3=0,0,MIN(in_C01,in_S05*in_S06)*in_S09*in_S02*in_S07))*V56</f>
        <v>6160</v>
      </c>
      <c r="W64" s="52" t="n">
        <f aca="false">(IF(W$3=0,0,MIN(in_C01,in_S05*in_S06)*in_S09*in_S02*in_S07))*W56</f>
        <v>6160</v>
      </c>
      <c r="X64" s="52" t="n">
        <f aca="false">(IF(X$3=0,0,MIN(in_C01,in_S05*in_S06)*in_S09*in_S02*in_S07))*X56</f>
        <v>6160</v>
      </c>
      <c r="Y64" s="52" t="n">
        <f aca="false">(IF(Y$3=0,0,MIN(in_C01,in_S05*in_S06)*in_S09*in_S02*in_S07))*Y56</f>
        <v>0</v>
      </c>
      <c r="Z64" s="52" t="n">
        <f aca="false">(IF(Z$3=0,0,MIN(in_C01,in_S05*in_S06)*in_S09*in_S02*in_S07))*Z56</f>
        <v>0</v>
      </c>
      <c r="AA64" s="52" t="n">
        <f aca="false">(IF(AA$3=0,0,MIN(in_C01,in_S05*in_S06)*in_S09*in_S02*in_S07))*AA56</f>
        <v>0</v>
      </c>
      <c r="AB64" s="52" t="n">
        <f aca="false">(IF(AB$3=0,0,MIN(in_C01,in_S05*in_S06)*in_S09*in_S02*in_S07))*AB56</f>
        <v>0</v>
      </c>
      <c r="AC64" s="52" t="n">
        <f aca="false">(IF(AC$3=0,0,MIN(in_C01,in_S05*in_S06)*in_S09*in_S02*in_S07))*AC56</f>
        <v>0</v>
      </c>
      <c r="AD64" s="52" t="n">
        <f aca="false">(IF(AD$3=0,0,MIN(in_C01,in_S05*in_S06)*in_S09*in_S02*in_S07))*AD56</f>
        <v>0</v>
      </c>
      <c r="AE64" s="52" t="n">
        <f aca="false">(IF(AE$3=0,0,MIN(in_C01,in_S05*in_S06)*in_S09*in_S02*in_S07))*AE56</f>
        <v>0</v>
      </c>
      <c r="AF64" s="52" t="n">
        <f aca="false">(IF(AF$3=0,0,MIN(in_C01,in_S05*in_S06)*in_S09*in_S02*in_S07))*AF56</f>
        <v>0</v>
      </c>
      <c r="AG64" s="52" t="n">
        <f aca="false">(IF(AG$3=0,0,MIN(in_C01,in_S05*in_S06)*in_S09*in_S02*in_S07))*AG56</f>
        <v>0</v>
      </c>
      <c r="AH64" s="52" t="n">
        <f aca="false">(IF(AH$3=0,0,MIN(in_C01,in_S05*in_S06)*in_S09*in_S02*in_S07))*AH56</f>
        <v>0</v>
      </c>
    </row>
    <row r="65" customFormat="false" ht="15" hidden="false" customHeight="true" outlineLevel="0" collapsed="false">
      <c r="A65" s="33" t="s">
        <v>1413</v>
      </c>
      <c r="C65" s="46" t="n">
        <f aca="false">SUMPRODUCT(D65:AH65,D$5:AH$5)</f>
        <v>18222.4209825336</v>
      </c>
      <c r="D65" s="52" t="n">
        <f aca="false">D58*D56</f>
        <v>0</v>
      </c>
      <c r="E65" s="52" t="n">
        <f aca="false">E58*E56</f>
        <v>1833.42263902959</v>
      </c>
      <c r="F65" s="52" t="n">
        <f aca="false">F58*F56</f>
        <v>1833.42263902959</v>
      </c>
      <c r="G65" s="52" t="n">
        <f aca="false">G58*G56</f>
        <v>1833.42263902959</v>
      </c>
      <c r="H65" s="52" t="n">
        <f aca="false">H58*H56</f>
        <v>1833.42263902959</v>
      </c>
      <c r="I65" s="52" t="n">
        <f aca="false">I58*I56</f>
        <v>1833.42263902959</v>
      </c>
      <c r="J65" s="52" t="n">
        <f aca="false">J58*J56</f>
        <v>1833.42263902959</v>
      </c>
      <c r="K65" s="52" t="n">
        <f aca="false">K58*K56</f>
        <v>1833.42263902959</v>
      </c>
      <c r="L65" s="52" t="n">
        <f aca="false">L58*L56</f>
        <v>1833.42263902959</v>
      </c>
      <c r="M65" s="52" t="n">
        <f aca="false">M58*M56</f>
        <v>1833.42263902959</v>
      </c>
      <c r="N65" s="52" t="n">
        <f aca="false">N58*N56</f>
        <v>1833.42263902959</v>
      </c>
      <c r="O65" s="52" t="n">
        <f aca="false">O58*O56</f>
        <v>1833.42263902959</v>
      </c>
      <c r="P65" s="52" t="n">
        <f aca="false">P58*P56</f>
        <v>1833.42263902959</v>
      </c>
      <c r="Q65" s="52" t="n">
        <f aca="false">Q58*Q56</f>
        <v>1833.42263902959</v>
      </c>
      <c r="R65" s="52" t="n">
        <f aca="false">R58*R56</f>
        <v>1833.42263902959</v>
      </c>
      <c r="S65" s="52" t="n">
        <f aca="false">S58*S56</f>
        <v>3151.35262108382</v>
      </c>
      <c r="T65" s="52" t="n">
        <f aca="false">T58*T56</f>
        <v>8692.9656764094</v>
      </c>
      <c r="U65" s="52" t="n">
        <f aca="false">U58*U56</f>
        <v>11212.3052554411</v>
      </c>
      <c r="V65" s="52" t="n">
        <f aca="false">V58*V56</f>
        <v>11598.6002871529</v>
      </c>
      <c r="W65" s="52" t="n">
        <f aca="false">W58*W56</f>
        <v>11971.6154186468</v>
      </c>
      <c r="X65" s="52" t="n">
        <f aca="false">X58*X56</f>
        <v>12331.650902335</v>
      </c>
      <c r="Y65" s="52" t="n">
        <f aca="false">Y58*Y56</f>
        <v>0</v>
      </c>
      <c r="Z65" s="52" t="n">
        <f aca="false">Z58*Z56</f>
        <v>0</v>
      </c>
      <c r="AA65" s="52" t="n">
        <f aca="false">AA58*AA56</f>
        <v>0</v>
      </c>
      <c r="AB65" s="52" t="n">
        <f aca="false">AB58*AB56</f>
        <v>0</v>
      </c>
      <c r="AC65" s="52" t="n">
        <f aca="false">AC58*AC56</f>
        <v>0</v>
      </c>
      <c r="AD65" s="52" t="n">
        <f aca="false">AD58*AD56</f>
        <v>0</v>
      </c>
      <c r="AE65" s="52" t="n">
        <f aca="false">AE58*AE56</f>
        <v>0</v>
      </c>
      <c r="AF65" s="52" t="n">
        <f aca="false">AF58*AF56</f>
        <v>0</v>
      </c>
      <c r="AG65" s="52" t="n">
        <f aca="false">AG58*AG56</f>
        <v>0</v>
      </c>
      <c r="AH65" s="52" t="n">
        <f aca="false">AH58*AH56</f>
        <v>0</v>
      </c>
    </row>
    <row r="67" customFormat="false" ht="15" hidden="false" customHeight="true" outlineLevel="0" collapsed="false">
      <c r="A67" s="53" t="s">
        <v>1417</v>
      </c>
      <c r="B67" s="58" t="s">
        <v>1403</v>
      </c>
      <c r="C67" s="59" t="n">
        <f aca="false">in_G02a</f>
        <v>20</v>
      </c>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row>
    <row r="68" customFormat="false" ht="15" hidden="false" customHeight="true" outlineLevel="0" collapsed="false">
      <c r="A68" s="33" t="s">
        <v>1404</v>
      </c>
      <c r="D68" s="61" t="n">
        <f aca="false">IF(D$3&lt;=in_G02a,1,0)</f>
        <v>1</v>
      </c>
      <c r="E68" s="61" t="n">
        <f aca="false">IF(E$3&lt;=in_G02a,1,0)</f>
        <v>1</v>
      </c>
      <c r="F68" s="61" t="n">
        <f aca="false">IF(F$3&lt;=in_G02a,1,0)</f>
        <v>1</v>
      </c>
      <c r="G68" s="61" t="n">
        <f aca="false">IF(G$3&lt;=in_G02a,1,0)</f>
        <v>1</v>
      </c>
      <c r="H68" s="61" t="n">
        <f aca="false">IF(H$3&lt;=in_G02a,1,0)</f>
        <v>1</v>
      </c>
      <c r="I68" s="61" t="n">
        <f aca="false">IF(I$3&lt;=in_G02a,1,0)</f>
        <v>1</v>
      </c>
      <c r="J68" s="61" t="n">
        <f aca="false">IF(J$3&lt;=in_G02a,1,0)</f>
        <v>1</v>
      </c>
      <c r="K68" s="61" t="n">
        <f aca="false">IF(K$3&lt;=in_G02a,1,0)</f>
        <v>1</v>
      </c>
      <c r="L68" s="61" t="n">
        <f aca="false">IF(L$3&lt;=in_G02a,1,0)</f>
        <v>1</v>
      </c>
      <c r="M68" s="61" t="n">
        <f aca="false">IF(M$3&lt;=in_G02a,1,0)</f>
        <v>1</v>
      </c>
      <c r="N68" s="61" t="n">
        <f aca="false">IF(N$3&lt;=in_G02a,1,0)</f>
        <v>1</v>
      </c>
      <c r="O68" s="61" t="n">
        <f aca="false">IF(O$3&lt;=in_G02a,1,0)</f>
        <v>1</v>
      </c>
      <c r="P68" s="61" t="n">
        <f aca="false">IF(P$3&lt;=in_G02a,1,0)</f>
        <v>1</v>
      </c>
      <c r="Q68" s="61" t="n">
        <f aca="false">IF(Q$3&lt;=in_G02a,1,0)</f>
        <v>1</v>
      </c>
      <c r="R68" s="61" t="n">
        <f aca="false">IF(R$3&lt;=in_G02a,1,0)</f>
        <v>1</v>
      </c>
      <c r="S68" s="61" t="n">
        <f aca="false">IF(S$3&lt;=in_G02a,1,0)</f>
        <v>1</v>
      </c>
      <c r="T68" s="61" t="n">
        <f aca="false">IF(T$3&lt;=in_G02a,1,0)</f>
        <v>1</v>
      </c>
      <c r="U68" s="61" t="n">
        <f aca="false">IF(U$3&lt;=in_G02a,1,0)</f>
        <v>1</v>
      </c>
      <c r="V68" s="61" t="n">
        <f aca="false">IF(V$3&lt;=in_G02a,1,0)</f>
        <v>1</v>
      </c>
      <c r="W68" s="61" t="n">
        <f aca="false">IF(W$3&lt;=in_G02a,1,0)</f>
        <v>1</v>
      </c>
      <c r="X68" s="61" t="n">
        <f aca="false">IF(X$3&lt;=in_G02a,1,0)</f>
        <v>1</v>
      </c>
      <c r="Y68" s="61" t="n">
        <f aca="false">IF(Y$3&lt;=in_G02a,1,0)</f>
        <v>0</v>
      </c>
      <c r="Z68" s="61" t="n">
        <f aca="false">IF(Z$3&lt;=in_G02a,1,0)</f>
        <v>0</v>
      </c>
      <c r="AA68" s="61" t="n">
        <f aca="false">IF(AA$3&lt;=in_G02a,1,0)</f>
        <v>0</v>
      </c>
      <c r="AB68" s="61" t="n">
        <f aca="false">IF(AB$3&lt;=in_G02a,1,0)</f>
        <v>0</v>
      </c>
      <c r="AC68" s="61" t="n">
        <f aca="false">IF(AC$3&lt;=in_G02a,1,0)</f>
        <v>0</v>
      </c>
      <c r="AD68" s="61" t="n">
        <f aca="false">IF(AD$3&lt;=in_G02a,1,0)</f>
        <v>0</v>
      </c>
      <c r="AE68" s="61" t="n">
        <f aca="false">IF(AE$3&lt;=in_G02a,1,0)</f>
        <v>0</v>
      </c>
      <c r="AF68" s="61" t="n">
        <f aca="false">IF(AF$3&lt;=in_G02a,1,0)</f>
        <v>0</v>
      </c>
      <c r="AG68" s="61" t="n">
        <f aca="false">IF(AG$3&lt;=in_G02a,1,0)</f>
        <v>0</v>
      </c>
      <c r="AH68" s="61" t="n">
        <f aca="false">IF(AH$3&lt;=in_G02a,1,0)</f>
        <v>0</v>
      </c>
    </row>
    <row r="69" customFormat="false" ht="15" hidden="false" customHeight="true" outlineLevel="0" collapsed="false">
      <c r="A69" s="33" t="s">
        <v>1405</v>
      </c>
      <c r="C69" s="46" t="n">
        <f aca="false">SUMPRODUCT(D69:AH69,D$5:AH$5)</f>
        <v>117325</v>
      </c>
      <c r="D69" s="52" t="n">
        <f aca="false">IF(D$3=0,c_flood_cap,0)</f>
        <v>117325</v>
      </c>
      <c r="E69" s="52" t="n">
        <f aca="false">IF(E$3=0,c_flood_cap,0)</f>
        <v>0</v>
      </c>
      <c r="F69" s="52" t="n">
        <f aca="false">IF(F$3=0,c_flood_cap,0)</f>
        <v>0</v>
      </c>
      <c r="G69" s="52" t="n">
        <f aca="false">IF(G$3=0,c_flood_cap,0)</f>
        <v>0</v>
      </c>
      <c r="H69" s="52" t="n">
        <f aca="false">IF(H$3=0,c_flood_cap,0)</f>
        <v>0</v>
      </c>
      <c r="I69" s="52" t="n">
        <f aca="false">IF(I$3=0,c_flood_cap,0)</f>
        <v>0</v>
      </c>
      <c r="J69" s="52" t="n">
        <f aca="false">IF(J$3=0,c_flood_cap,0)</f>
        <v>0</v>
      </c>
      <c r="K69" s="52" t="n">
        <f aca="false">IF(K$3=0,c_flood_cap,0)</f>
        <v>0</v>
      </c>
      <c r="L69" s="52" t="n">
        <f aca="false">IF(L$3=0,c_flood_cap,0)</f>
        <v>0</v>
      </c>
      <c r="M69" s="52" t="n">
        <f aca="false">IF(M$3=0,c_flood_cap,0)</f>
        <v>0</v>
      </c>
      <c r="N69" s="52" t="n">
        <f aca="false">IF(N$3=0,c_flood_cap,0)</f>
        <v>0</v>
      </c>
      <c r="O69" s="52" t="n">
        <f aca="false">IF(O$3=0,c_flood_cap,0)</f>
        <v>0</v>
      </c>
      <c r="P69" s="52" t="n">
        <f aca="false">IF(P$3=0,c_flood_cap,0)</f>
        <v>0</v>
      </c>
      <c r="Q69" s="52" t="n">
        <f aca="false">IF(Q$3=0,c_flood_cap,0)</f>
        <v>0</v>
      </c>
      <c r="R69" s="52" t="n">
        <f aca="false">IF(R$3=0,c_flood_cap,0)</f>
        <v>0</v>
      </c>
      <c r="S69" s="52" t="n">
        <f aca="false">IF(S$3=0,c_flood_cap,0)</f>
        <v>0</v>
      </c>
      <c r="T69" s="52" t="n">
        <f aca="false">IF(T$3=0,c_flood_cap,0)</f>
        <v>0</v>
      </c>
      <c r="U69" s="52" t="n">
        <f aca="false">IF(U$3=0,c_flood_cap,0)</f>
        <v>0</v>
      </c>
      <c r="V69" s="52" t="n">
        <f aca="false">IF(V$3=0,c_flood_cap,0)</f>
        <v>0</v>
      </c>
      <c r="W69" s="52" t="n">
        <f aca="false">IF(W$3=0,c_flood_cap,0)</f>
        <v>0</v>
      </c>
      <c r="X69" s="52" t="n">
        <f aca="false">IF(X$3=0,c_flood_cap,0)</f>
        <v>0</v>
      </c>
      <c r="Y69" s="52" t="n">
        <f aca="false">IF(Y$3=0,c_flood_cap,0)</f>
        <v>0</v>
      </c>
      <c r="Z69" s="52" t="n">
        <f aca="false">IF(Z$3=0,c_flood_cap,0)</f>
        <v>0</v>
      </c>
      <c r="AA69" s="52" t="n">
        <f aca="false">IF(AA$3=0,c_flood_cap,0)</f>
        <v>0</v>
      </c>
      <c r="AB69" s="52" t="n">
        <f aca="false">IF(AB$3=0,c_flood_cap,0)</f>
        <v>0</v>
      </c>
      <c r="AC69" s="52" t="n">
        <f aca="false">IF(AC$3=0,c_flood_cap,0)</f>
        <v>0</v>
      </c>
      <c r="AD69" s="52" t="n">
        <f aca="false">IF(AD$3=0,c_flood_cap,0)</f>
        <v>0</v>
      </c>
      <c r="AE69" s="52" t="n">
        <f aca="false">IF(AE$3=0,c_flood_cap,0)</f>
        <v>0</v>
      </c>
      <c r="AF69" s="52" t="n">
        <f aca="false">IF(AF$3=0,c_flood_cap,0)</f>
        <v>0</v>
      </c>
      <c r="AG69" s="52" t="n">
        <f aca="false">IF(AG$3=0,c_flood_cap,0)</f>
        <v>0</v>
      </c>
      <c r="AH69" s="52" t="n">
        <f aca="false">IF(AH$3=0,c_flood_cap,0)</f>
        <v>0</v>
      </c>
    </row>
    <row r="70" customFormat="false" ht="15" hidden="false" customHeight="true" outlineLevel="0" collapsed="false">
      <c r="A70" s="33" t="s">
        <v>1406</v>
      </c>
      <c r="D70" s="52" t="n">
        <f aca="false">0</f>
        <v>0</v>
      </c>
      <c r="E70" s="52" t="n">
        <f aca="false">0</f>
        <v>0</v>
      </c>
      <c r="F70" s="52" t="n">
        <f aca="false">0</f>
        <v>0</v>
      </c>
      <c r="G70" s="52" t="n">
        <f aca="false">0</f>
        <v>0</v>
      </c>
      <c r="H70" s="52" t="n">
        <f aca="false">0</f>
        <v>0</v>
      </c>
      <c r="I70" s="52" t="n">
        <f aca="false">0</f>
        <v>0</v>
      </c>
      <c r="J70" s="52" t="n">
        <f aca="false">0</f>
        <v>0</v>
      </c>
      <c r="K70" s="52" t="n">
        <f aca="false">0</f>
        <v>0</v>
      </c>
      <c r="L70" s="52" t="n">
        <f aca="false">0</f>
        <v>0</v>
      </c>
      <c r="M70" s="52" t="n">
        <f aca="false">0</f>
        <v>0</v>
      </c>
      <c r="N70" s="52" t="n">
        <f aca="false">0</f>
        <v>0</v>
      </c>
      <c r="O70" s="52" t="n">
        <f aca="false">0</f>
        <v>0</v>
      </c>
      <c r="P70" s="52" t="n">
        <f aca="false">0</f>
        <v>0</v>
      </c>
      <c r="Q70" s="52" t="n">
        <f aca="false">0</f>
        <v>0</v>
      </c>
      <c r="R70" s="52" t="n">
        <f aca="false">0</f>
        <v>0</v>
      </c>
      <c r="S70" s="52" t="n">
        <f aca="false">0</f>
        <v>0</v>
      </c>
      <c r="T70" s="52" t="n">
        <f aca="false">0</f>
        <v>0</v>
      </c>
      <c r="U70" s="52" t="n">
        <f aca="false">0</f>
        <v>0</v>
      </c>
      <c r="V70" s="52" t="n">
        <f aca="false">0</f>
        <v>0</v>
      </c>
      <c r="W70" s="52" t="n">
        <f aca="false">0</f>
        <v>0</v>
      </c>
      <c r="X70" s="52" t="n">
        <f aca="false">0</f>
        <v>0</v>
      </c>
      <c r="Y70" s="52" t="n">
        <f aca="false">0</f>
        <v>0</v>
      </c>
      <c r="Z70" s="52" t="n">
        <f aca="false">0</f>
        <v>0</v>
      </c>
      <c r="AA70" s="52" t="n">
        <f aca="false">0</f>
        <v>0</v>
      </c>
      <c r="AB70" s="52" t="n">
        <f aca="false">0</f>
        <v>0</v>
      </c>
      <c r="AC70" s="52" t="n">
        <f aca="false">0</f>
        <v>0</v>
      </c>
      <c r="AD70" s="52" t="n">
        <f aca="false">0</f>
        <v>0</v>
      </c>
      <c r="AE70" s="52" t="n">
        <f aca="false">0</f>
        <v>0</v>
      </c>
      <c r="AF70" s="52" t="n">
        <f aca="false">0</f>
        <v>0</v>
      </c>
      <c r="AG70" s="52" t="n">
        <f aca="false">0</f>
        <v>0</v>
      </c>
      <c r="AH70" s="52" t="n">
        <f aca="false">0</f>
        <v>0</v>
      </c>
    </row>
    <row r="71" customFormat="false" ht="15" hidden="false" customHeight="true" outlineLevel="0" collapsed="false">
      <c r="A71" s="33" t="s">
        <v>1407</v>
      </c>
      <c r="D71" s="52" t="n">
        <f aca="false">IF(D$3=0,0,in_H05*((c_floss0-in_N05*c_rec0)-(c_floss1-in_N05*c_rec1)))</f>
        <v>0</v>
      </c>
      <c r="E71" s="52" t="n">
        <f aca="false">IF(E$3=0,0,in_H05*((c_floss0-in_N05*c_rec0)-(c_floss1-in_N05*c_rec1)))</f>
        <v>9863.27267498049</v>
      </c>
      <c r="F71" s="52" t="n">
        <f aca="false">IF(F$3=0,0,in_H05*((c_floss0-in_N05*c_rec0)-(c_floss1-in_N05*c_rec1)))</f>
        <v>9863.27267498049</v>
      </c>
      <c r="G71" s="52" t="n">
        <f aca="false">IF(G$3=0,0,in_H05*((c_floss0-in_N05*c_rec0)-(c_floss1-in_N05*c_rec1)))</f>
        <v>9863.27267498049</v>
      </c>
      <c r="H71" s="52" t="n">
        <f aca="false">IF(H$3=0,0,in_H05*((c_floss0-in_N05*c_rec0)-(c_floss1-in_N05*c_rec1)))</f>
        <v>9863.27267498049</v>
      </c>
      <c r="I71" s="52" t="n">
        <f aca="false">IF(I$3=0,0,in_H05*((c_floss0-in_N05*c_rec0)-(c_floss1-in_N05*c_rec1)))</f>
        <v>9863.27267498049</v>
      </c>
      <c r="J71" s="52" t="n">
        <f aca="false">IF(J$3=0,0,in_H05*((c_floss0-in_N05*c_rec0)-(c_floss1-in_N05*c_rec1)))</f>
        <v>9863.27267498049</v>
      </c>
      <c r="K71" s="52" t="n">
        <f aca="false">IF(K$3=0,0,in_H05*((c_floss0-in_N05*c_rec0)-(c_floss1-in_N05*c_rec1)))</f>
        <v>9863.27267498049</v>
      </c>
      <c r="L71" s="52" t="n">
        <f aca="false">IF(L$3=0,0,in_H05*((c_floss0-in_N05*c_rec0)-(c_floss1-in_N05*c_rec1)))</f>
        <v>9863.27267498049</v>
      </c>
      <c r="M71" s="52" t="n">
        <f aca="false">IF(M$3=0,0,in_H05*((c_floss0-in_N05*c_rec0)-(c_floss1-in_N05*c_rec1)))</f>
        <v>9863.27267498049</v>
      </c>
      <c r="N71" s="52" t="n">
        <f aca="false">IF(N$3=0,0,in_H05*((c_floss0-in_N05*c_rec0)-(c_floss1-in_N05*c_rec1)))</f>
        <v>9863.27267498049</v>
      </c>
      <c r="O71" s="52" t="n">
        <f aca="false">IF(O$3=0,0,in_H05*((c_floss0-in_N05*c_rec0)-(c_floss1-in_N05*c_rec1)))</f>
        <v>9863.27267498049</v>
      </c>
      <c r="P71" s="52" t="n">
        <f aca="false">IF(P$3=0,0,in_H05*((c_floss0-in_N05*c_rec0)-(c_floss1-in_N05*c_rec1)))</f>
        <v>9863.27267498049</v>
      </c>
      <c r="Q71" s="52" t="n">
        <f aca="false">IF(Q$3=0,0,in_H05*((c_floss0-in_N05*c_rec0)-(c_floss1-in_N05*c_rec1)))</f>
        <v>9863.27267498049</v>
      </c>
      <c r="R71" s="52" t="n">
        <f aca="false">IF(R$3=0,0,in_H05*((c_floss0-in_N05*c_rec0)-(c_floss1-in_N05*c_rec1)))</f>
        <v>9863.27267498049</v>
      </c>
      <c r="S71" s="52" t="n">
        <f aca="false">IF(S$3=0,0,in_H05*((c_floss0-in_N05*c_rec0)-(c_floss1-in_N05*c_rec1)))</f>
        <v>9863.27267498049</v>
      </c>
      <c r="T71" s="52" t="n">
        <f aca="false">IF(T$3=0,0,in_H05*((c_floss0-in_N05*c_rec0)-(c_floss1-in_N05*c_rec1)))</f>
        <v>9863.27267498049</v>
      </c>
      <c r="U71" s="52" t="n">
        <f aca="false">IF(U$3=0,0,in_H05*((c_floss0-in_N05*c_rec0)-(c_floss1-in_N05*c_rec1)))</f>
        <v>9863.27267498049</v>
      </c>
      <c r="V71" s="52" t="n">
        <f aca="false">IF(V$3=0,0,in_H05*((c_floss0-in_N05*c_rec0)-(c_floss1-in_N05*c_rec1)))</f>
        <v>9863.27267498049</v>
      </c>
      <c r="W71" s="52" t="n">
        <f aca="false">IF(W$3=0,0,in_H05*((c_floss0-in_N05*c_rec0)-(c_floss1-in_N05*c_rec1)))</f>
        <v>9863.27267498049</v>
      </c>
      <c r="X71" s="52" t="n">
        <f aca="false">IF(X$3=0,0,in_H05*((c_floss0-in_N05*c_rec0)-(c_floss1-in_N05*c_rec1)))</f>
        <v>9863.27267498049</v>
      </c>
      <c r="Y71" s="52" t="n">
        <f aca="false">IF(Y$3=0,0,in_H05*((c_floss0-in_N05*c_rec0)-(c_floss1-in_N05*c_rec1)))</f>
        <v>9863.27267498049</v>
      </c>
      <c r="Z71" s="52" t="n">
        <f aca="false">IF(Z$3=0,0,in_H05*((c_floss0-in_N05*c_rec0)-(c_floss1-in_N05*c_rec1)))</f>
        <v>9863.27267498049</v>
      </c>
      <c r="AA71" s="52" t="n">
        <f aca="false">IF(AA$3=0,0,in_H05*((c_floss0-in_N05*c_rec0)-(c_floss1-in_N05*c_rec1)))</f>
        <v>9863.27267498049</v>
      </c>
      <c r="AB71" s="52" t="n">
        <f aca="false">IF(AB$3=0,0,in_H05*((c_floss0-in_N05*c_rec0)-(c_floss1-in_N05*c_rec1)))</f>
        <v>9863.27267498049</v>
      </c>
      <c r="AC71" s="52" t="n">
        <f aca="false">IF(AC$3=0,0,in_H05*((c_floss0-in_N05*c_rec0)-(c_floss1-in_N05*c_rec1)))</f>
        <v>9863.27267498049</v>
      </c>
      <c r="AD71" s="52" t="n">
        <f aca="false">IF(AD$3=0,0,in_H05*((c_floss0-in_N05*c_rec0)-(c_floss1-in_N05*c_rec1)))</f>
        <v>9863.27267498049</v>
      </c>
      <c r="AE71" s="52" t="n">
        <f aca="false">IF(AE$3=0,0,in_H05*((c_floss0-in_N05*c_rec0)-(c_floss1-in_N05*c_rec1)))</f>
        <v>9863.27267498049</v>
      </c>
      <c r="AF71" s="52" t="n">
        <f aca="false">IF(AF$3=0,0,in_H05*((c_floss0-in_N05*c_rec0)-(c_floss1-in_N05*c_rec1)))</f>
        <v>9863.27267498049</v>
      </c>
      <c r="AG71" s="52" t="n">
        <f aca="false">IF(AG$3=0,0,in_H05*((c_floss0-in_N05*c_rec0)-(c_floss1-in_N05*c_rec1)))</f>
        <v>9863.27267498049</v>
      </c>
      <c r="AH71" s="52" t="n">
        <f aca="false">IF(AH$3=0,0,in_H05*((c_floss0-in_N05*c_rec0)-(c_floss1-in_N05*c_rec1)))</f>
        <v>9863.27267498049</v>
      </c>
    </row>
    <row r="72" customFormat="false" ht="15" hidden="false" customHeight="true" outlineLevel="0" collapsed="false">
      <c r="A72" s="33" t="s">
        <v>1408</v>
      </c>
      <c r="D72" s="52" t="n">
        <f aca="false">IF(D$3=0,0,in_D08*c_flood_cap)</f>
        <v>0</v>
      </c>
      <c r="E72" s="52" t="n">
        <f aca="false">IF(E$3=0,0,in_D08*c_flood_cap)</f>
        <v>2346.5</v>
      </c>
      <c r="F72" s="52" t="n">
        <f aca="false">IF(F$3=0,0,in_D08*c_flood_cap)</f>
        <v>2346.5</v>
      </c>
      <c r="G72" s="52" t="n">
        <f aca="false">IF(G$3=0,0,in_D08*c_flood_cap)</f>
        <v>2346.5</v>
      </c>
      <c r="H72" s="52" t="n">
        <f aca="false">IF(H$3=0,0,in_D08*c_flood_cap)</f>
        <v>2346.5</v>
      </c>
      <c r="I72" s="52" t="n">
        <f aca="false">IF(I$3=0,0,in_D08*c_flood_cap)</f>
        <v>2346.5</v>
      </c>
      <c r="J72" s="52" t="n">
        <f aca="false">IF(J$3=0,0,in_D08*c_flood_cap)</f>
        <v>2346.5</v>
      </c>
      <c r="K72" s="52" t="n">
        <f aca="false">IF(K$3=0,0,in_D08*c_flood_cap)</f>
        <v>2346.5</v>
      </c>
      <c r="L72" s="52" t="n">
        <f aca="false">IF(L$3=0,0,in_D08*c_flood_cap)</f>
        <v>2346.5</v>
      </c>
      <c r="M72" s="52" t="n">
        <f aca="false">IF(M$3=0,0,in_D08*c_flood_cap)</f>
        <v>2346.5</v>
      </c>
      <c r="N72" s="52" t="n">
        <f aca="false">IF(N$3=0,0,in_D08*c_flood_cap)</f>
        <v>2346.5</v>
      </c>
      <c r="O72" s="52" t="n">
        <f aca="false">IF(O$3=0,0,in_D08*c_flood_cap)</f>
        <v>2346.5</v>
      </c>
      <c r="P72" s="52" t="n">
        <f aca="false">IF(P$3=0,0,in_D08*c_flood_cap)</f>
        <v>2346.5</v>
      </c>
      <c r="Q72" s="52" t="n">
        <f aca="false">IF(Q$3=0,0,in_D08*c_flood_cap)</f>
        <v>2346.5</v>
      </c>
      <c r="R72" s="52" t="n">
        <f aca="false">IF(R$3=0,0,in_D08*c_flood_cap)</f>
        <v>2346.5</v>
      </c>
      <c r="S72" s="52" t="n">
        <f aca="false">IF(S$3=0,0,in_D08*c_flood_cap)</f>
        <v>2346.5</v>
      </c>
      <c r="T72" s="52" t="n">
        <f aca="false">IF(T$3=0,0,in_D08*c_flood_cap)</f>
        <v>2346.5</v>
      </c>
      <c r="U72" s="52" t="n">
        <f aca="false">IF(U$3=0,0,in_D08*c_flood_cap)</f>
        <v>2346.5</v>
      </c>
      <c r="V72" s="52" t="n">
        <f aca="false">IF(V$3=0,0,in_D08*c_flood_cap)</f>
        <v>2346.5</v>
      </c>
      <c r="W72" s="52" t="n">
        <f aca="false">IF(W$3=0,0,in_D08*c_flood_cap)</f>
        <v>2346.5</v>
      </c>
      <c r="X72" s="52" t="n">
        <f aca="false">IF(X$3=0,0,in_D08*c_flood_cap)</f>
        <v>2346.5</v>
      </c>
      <c r="Y72" s="52" t="n">
        <f aca="false">IF(Y$3=0,0,in_D08*c_flood_cap)</f>
        <v>2346.5</v>
      </c>
      <c r="Z72" s="52" t="n">
        <f aca="false">IF(Z$3=0,0,in_D08*c_flood_cap)</f>
        <v>2346.5</v>
      </c>
      <c r="AA72" s="52" t="n">
        <f aca="false">IF(AA$3=0,0,in_D08*c_flood_cap)</f>
        <v>2346.5</v>
      </c>
      <c r="AB72" s="52" t="n">
        <f aca="false">IF(AB$3=0,0,in_D08*c_flood_cap)</f>
        <v>2346.5</v>
      </c>
      <c r="AC72" s="52" t="n">
        <f aca="false">IF(AC$3=0,0,in_D08*c_flood_cap)</f>
        <v>2346.5</v>
      </c>
      <c r="AD72" s="52" t="n">
        <f aca="false">IF(AD$3=0,0,in_D08*c_flood_cap)</f>
        <v>2346.5</v>
      </c>
      <c r="AE72" s="52" t="n">
        <f aca="false">IF(AE$3=0,0,in_D08*c_flood_cap)</f>
        <v>2346.5</v>
      </c>
      <c r="AF72" s="52" t="n">
        <f aca="false">IF(AF$3=0,0,in_D08*c_flood_cap)</f>
        <v>2346.5</v>
      </c>
      <c r="AG72" s="52" t="n">
        <f aca="false">IF(AG$3=0,0,in_D08*c_flood_cap)</f>
        <v>2346.5</v>
      </c>
      <c r="AH72" s="52" t="n">
        <f aca="false">IF(AH$3=0,0,in_D08*c_flood_cap)</f>
        <v>2346.5</v>
      </c>
    </row>
    <row r="73" customFormat="false" ht="15" hidden="false" customHeight="true" outlineLevel="0" collapsed="false">
      <c r="A73" s="33" t="s">
        <v>1409</v>
      </c>
      <c r="D73" s="52" t="n">
        <f aca="false">D70+D71-D72</f>
        <v>0</v>
      </c>
      <c r="E73" s="52" t="n">
        <f aca="false">E70+E71-E72</f>
        <v>7516.77267498049</v>
      </c>
      <c r="F73" s="52" t="n">
        <f aca="false">F70+F71-F72</f>
        <v>7516.77267498049</v>
      </c>
      <c r="G73" s="52" t="n">
        <f aca="false">G70+G71-G72</f>
        <v>7516.77267498049</v>
      </c>
      <c r="H73" s="52" t="n">
        <f aca="false">H70+H71-H72</f>
        <v>7516.77267498049</v>
      </c>
      <c r="I73" s="52" t="n">
        <f aca="false">I70+I71-I72</f>
        <v>7516.77267498049</v>
      </c>
      <c r="J73" s="52" t="n">
        <f aca="false">J70+J71-J72</f>
        <v>7516.77267498049</v>
      </c>
      <c r="K73" s="52" t="n">
        <f aca="false">K70+K71-K72</f>
        <v>7516.77267498049</v>
      </c>
      <c r="L73" s="52" t="n">
        <f aca="false">L70+L71-L72</f>
        <v>7516.77267498049</v>
      </c>
      <c r="M73" s="52" t="n">
        <f aca="false">M70+M71-M72</f>
        <v>7516.77267498049</v>
      </c>
      <c r="N73" s="52" t="n">
        <f aca="false">N70+N71-N72</f>
        <v>7516.77267498049</v>
      </c>
      <c r="O73" s="52" t="n">
        <f aca="false">O70+O71-O72</f>
        <v>7516.77267498049</v>
      </c>
      <c r="P73" s="52" t="n">
        <f aca="false">P70+P71-P72</f>
        <v>7516.77267498049</v>
      </c>
      <c r="Q73" s="52" t="n">
        <f aca="false">Q70+Q71-Q72</f>
        <v>7516.77267498049</v>
      </c>
      <c r="R73" s="52" t="n">
        <f aca="false">R70+R71-R72</f>
        <v>7516.77267498049</v>
      </c>
      <c r="S73" s="52" t="n">
        <f aca="false">S70+S71-S72</f>
        <v>7516.77267498049</v>
      </c>
      <c r="T73" s="52" t="n">
        <f aca="false">T70+T71-T72</f>
        <v>7516.77267498049</v>
      </c>
      <c r="U73" s="52" t="n">
        <f aca="false">U70+U71-U72</f>
        <v>7516.77267498049</v>
      </c>
      <c r="V73" s="52" t="n">
        <f aca="false">V70+V71-V72</f>
        <v>7516.77267498049</v>
      </c>
      <c r="W73" s="52" t="n">
        <f aca="false">W70+W71-W72</f>
        <v>7516.77267498049</v>
      </c>
      <c r="X73" s="52" t="n">
        <f aca="false">X70+X71-X72</f>
        <v>7516.77267498049</v>
      </c>
      <c r="Y73" s="52" t="n">
        <f aca="false">Y70+Y71-Y72</f>
        <v>7516.77267498049</v>
      </c>
      <c r="Z73" s="52" t="n">
        <f aca="false">Z70+Z71-Z72</f>
        <v>7516.77267498049</v>
      </c>
      <c r="AA73" s="52" t="n">
        <f aca="false">AA70+AA71-AA72</f>
        <v>7516.77267498049</v>
      </c>
      <c r="AB73" s="52" t="n">
        <f aca="false">AB70+AB71-AB72</f>
        <v>7516.77267498049</v>
      </c>
      <c r="AC73" s="52" t="n">
        <f aca="false">AC70+AC71-AC72</f>
        <v>7516.77267498049</v>
      </c>
      <c r="AD73" s="52" t="n">
        <f aca="false">AD70+AD71-AD72</f>
        <v>7516.77267498049</v>
      </c>
      <c r="AE73" s="52" t="n">
        <f aca="false">AE70+AE71-AE72</f>
        <v>7516.77267498049</v>
      </c>
      <c r="AF73" s="52" t="n">
        <f aca="false">AF70+AF71-AF72</f>
        <v>7516.77267498049</v>
      </c>
      <c r="AG73" s="52" t="n">
        <f aca="false">AG70+AG71-AG72</f>
        <v>7516.77267498049</v>
      </c>
      <c r="AH73" s="52" t="n">
        <f aca="false">AH70+AH71-AH72</f>
        <v>7516.77267498049</v>
      </c>
    </row>
    <row r="74" customFormat="false" ht="15" hidden="false" customHeight="true" outlineLevel="0" collapsed="false">
      <c r="A74" s="33" t="s">
        <v>1410</v>
      </c>
      <c r="D74" s="52" t="n">
        <f aca="false">D$4*MAX(0,D73)</f>
        <v>0</v>
      </c>
      <c r="E74" s="52" t="n">
        <f aca="false">E$4*MAX(0,E73)</f>
        <v>0</v>
      </c>
      <c r="F74" s="52" t="n">
        <f aca="false">F$4*MAX(0,F73)</f>
        <v>0</v>
      </c>
      <c r="G74" s="52" t="n">
        <f aca="false">G$4*MAX(0,G73)</f>
        <v>0</v>
      </c>
      <c r="H74" s="52" t="n">
        <f aca="false">H$4*MAX(0,H73)</f>
        <v>0</v>
      </c>
      <c r="I74" s="52" t="n">
        <f aca="false">I$4*MAX(0,I73)</f>
        <v>0</v>
      </c>
      <c r="J74" s="52" t="n">
        <f aca="false">J$4*MAX(0,J73)</f>
        <v>0</v>
      </c>
      <c r="K74" s="52" t="n">
        <f aca="false">K$4*MAX(0,K73)</f>
        <v>0</v>
      </c>
      <c r="L74" s="52" t="n">
        <f aca="false">L$4*MAX(0,L73)</f>
        <v>0</v>
      </c>
      <c r="M74" s="52" t="n">
        <f aca="false">M$4*MAX(0,M73)</f>
        <v>0</v>
      </c>
      <c r="N74" s="52" t="n">
        <f aca="false">N$4*MAX(0,N73)</f>
        <v>0</v>
      </c>
      <c r="O74" s="52" t="n">
        <f aca="false">O$4*MAX(0,O73)</f>
        <v>1240.26749137178</v>
      </c>
      <c r="P74" s="52" t="n">
        <f aca="false">P$4*MAX(0,P73)</f>
        <v>1240.26749137178</v>
      </c>
      <c r="Q74" s="52" t="n">
        <f aca="false">Q$4*MAX(0,Q73)</f>
        <v>1240.26749137178</v>
      </c>
      <c r="R74" s="52" t="n">
        <f aca="false">R$4*MAX(0,R73)</f>
        <v>1240.26749137178</v>
      </c>
      <c r="S74" s="52" t="n">
        <f aca="false">S$4*MAX(0,S73)</f>
        <v>1240.26749137178</v>
      </c>
      <c r="T74" s="52" t="n">
        <f aca="false">T$4*MAX(0,T73)</f>
        <v>1240.26749137178</v>
      </c>
      <c r="U74" s="52" t="n">
        <f aca="false">U$4*MAX(0,U73)</f>
        <v>1240.26749137178</v>
      </c>
      <c r="V74" s="52" t="n">
        <f aca="false">V$4*MAX(0,V73)</f>
        <v>1240.26749137178</v>
      </c>
      <c r="W74" s="52" t="n">
        <f aca="false">W$4*MAX(0,W73)</f>
        <v>1240.26749137178</v>
      </c>
      <c r="X74" s="52" t="n">
        <f aca="false">X$4*MAX(0,X73)</f>
        <v>1240.26749137178</v>
      </c>
      <c r="Y74" s="52" t="n">
        <f aca="false">Y$4*MAX(0,Y73)</f>
        <v>1240.26749137178</v>
      </c>
      <c r="Z74" s="52" t="n">
        <f aca="false">Z$4*MAX(0,Z73)</f>
        <v>1240.26749137178</v>
      </c>
      <c r="AA74" s="52" t="n">
        <f aca="false">AA$4*MAX(0,AA73)</f>
        <v>1240.26749137178</v>
      </c>
      <c r="AB74" s="52" t="n">
        <f aca="false">AB$4*MAX(0,AB73)</f>
        <v>1240.26749137178</v>
      </c>
      <c r="AC74" s="52" t="n">
        <f aca="false">AC$4*MAX(0,AC73)</f>
        <v>1240.26749137178</v>
      </c>
      <c r="AD74" s="52" t="n">
        <f aca="false">AD$4*MAX(0,AD73)</f>
        <v>1240.26749137178</v>
      </c>
      <c r="AE74" s="52" t="n">
        <f aca="false">AE$4*MAX(0,AE73)</f>
        <v>1240.26749137178</v>
      </c>
      <c r="AF74" s="52" t="n">
        <f aca="false">AF$4*MAX(0,AF73)</f>
        <v>1240.26749137178</v>
      </c>
      <c r="AG74" s="52" t="n">
        <f aca="false">AG$4*MAX(0,AG73)</f>
        <v>1240.26749137178</v>
      </c>
      <c r="AH74" s="52" t="n">
        <f aca="false">AH$4*MAX(0,AH73)</f>
        <v>1240.26749137178</v>
      </c>
    </row>
    <row r="75" customFormat="false" ht="15" hidden="false" customHeight="true" outlineLevel="0" collapsed="false">
      <c r="A75" s="33" t="s">
        <v>1411</v>
      </c>
      <c r="C75" s="55" t="n">
        <f aca="false">SUMPRODUCT(D75:AH75,D$5:AH$5)</f>
        <v>-66504.1169232252</v>
      </c>
      <c r="D75" s="55" t="n">
        <f aca="false">(D73-D69-D74)*D68</f>
        <v>-117325</v>
      </c>
      <c r="E75" s="55" t="n">
        <f aca="false">(E73-E69-E74)*E68</f>
        <v>7516.77267498049</v>
      </c>
      <c r="F75" s="55" t="n">
        <f aca="false">(F73-F69-F74)*F68</f>
        <v>7516.77267498049</v>
      </c>
      <c r="G75" s="55" t="n">
        <f aca="false">(G73-G69-G74)*G68</f>
        <v>7516.77267498049</v>
      </c>
      <c r="H75" s="55" t="n">
        <f aca="false">(H73-H69-H74)*H68</f>
        <v>7516.77267498049</v>
      </c>
      <c r="I75" s="55" t="n">
        <f aca="false">(I73-I69-I74)*I68</f>
        <v>7516.77267498049</v>
      </c>
      <c r="J75" s="55" t="n">
        <f aca="false">(J73-J69-J74)*J68</f>
        <v>7516.77267498049</v>
      </c>
      <c r="K75" s="55" t="n">
        <f aca="false">(K73-K69-K74)*K68</f>
        <v>7516.77267498049</v>
      </c>
      <c r="L75" s="55" t="n">
        <f aca="false">(L73-L69-L74)*L68</f>
        <v>7516.77267498049</v>
      </c>
      <c r="M75" s="55" t="n">
        <f aca="false">(M73-M69-M74)*M68</f>
        <v>7516.77267498049</v>
      </c>
      <c r="N75" s="55" t="n">
        <f aca="false">(N73-N69-N74)*N68</f>
        <v>7516.77267498049</v>
      </c>
      <c r="O75" s="55" t="n">
        <f aca="false">(O73-O69-O74)*O68</f>
        <v>6276.50518360871</v>
      </c>
      <c r="P75" s="55" t="n">
        <f aca="false">(P73-P69-P74)*P68</f>
        <v>6276.50518360871</v>
      </c>
      <c r="Q75" s="55" t="n">
        <f aca="false">(Q73-Q69-Q74)*Q68</f>
        <v>6276.50518360871</v>
      </c>
      <c r="R75" s="55" t="n">
        <f aca="false">(R73-R69-R74)*R68</f>
        <v>6276.50518360871</v>
      </c>
      <c r="S75" s="55" t="n">
        <f aca="false">(S73-S69-S74)*S68</f>
        <v>6276.50518360871</v>
      </c>
      <c r="T75" s="55" t="n">
        <f aca="false">(T73-T69-T74)*T68</f>
        <v>6276.50518360871</v>
      </c>
      <c r="U75" s="55" t="n">
        <f aca="false">(U73-U69-U74)*U68</f>
        <v>6276.50518360871</v>
      </c>
      <c r="V75" s="55" t="n">
        <f aca="false">(V73-V69-V74)*V68</f>
        <v>6276.50518360871</v>
      </c>
      <c r="W75" s="55" t="n">
        <f aca="false">(W73-W69-W74)*W68</f>
        <v>6276.50518360871</v>
      </c>
      <c r="X75" s="55" t="n">
        <f aca="false">(X73-X69-X74)*X68</f>
        <v>6276.50518360871</v>
      </c>
      <c r="Y75" s="55" t="n">
        <f aca="false">(Y73-Y69-Y74)*Y68</f>
        <v>0</v>
      </c>
      <c r="Z75" s="55" t="n">
        <f aca="false">(Z73-Z69-Z74)*Z68</f>
        <v>0</v>
      </c>
      <c r="AA75" s="55" t="n">
        <f aca="false">(AA73-AA69-AA74)*AA68</f>
        <v>0</v>
      </c>
      <c r="AB75" s="55" t="n">
        <f aca="false">(AB73-AB69-AB74)*AB68</f>
        <v>0</v>
      </c>
      <c r="AC75" s="55" t="n">
        <f aca="false">(AC73-AC69-AC74)*AC68</f>
        <v>0</v>
      </c>
      <c r="AD75" s="55" t="n">
        <f aca="false">(AD73-AD69-AD74)*AD68</f>
        <v>0</v>
      </c>
      <c r="AE75" s="55" t="n">
        <f aca="false">(AE73-AE69-AE74)*AE68</f>
        <v>0</v>
      </c>
      <c r="AF75" s="55" t="n">
        <f aca="false">(AF73-AF69-AF74)*AF68</f>
        <v>0</v>
      </c>
      <c r="AG75" s="55" t="n">
        <f aca="false">(AG73-AG69-AG74)*AG68</f>
        <v>0</v>
      </c>
      <c r="AH75" s="55" t="n">
        <f aca="false">(AH73-AH69-AH74)*AH68</f>
        <v>0</v>
      </c>
    </row>
    <row r="76" customFormat="false" ht="15" hidden="false" customHeight="true" outlineLevel="0" collapsed="false">
      <c r="A76" s="33" t="s">
        <v>1412</v>
      </c>
      <c r="C76" s="46" t="n">
        <f aca="false">SUMPRODUCT(D76:AH76,D$5:AH$5)</f>
        <v>0</v>
      </c>
      <c r="D76" s="52" t="n">
        <f aca="false">0</f>
        <v>0</v>
      </c>
      <c r="E76" s="52" t="n">
        <f aca="false">0</f>
        <v>0</v>
      </c>
      <c r="F76" s="52" t="n">
        <f aca="false">0</f>
        <v>0</v>
      </c>
      <c r="G76" s="52" t="n">
        <f aca="false">0</f>
        <v>0</v>
      </c>
      <c r="H76" s="52" t="n">
        <f aca="false">0</f>
        <v>0</v>
      </c>
      <c r="I76" s="52" t="n">
        <f aca="false">0</f>
        <v>0</v>
      </c>
      <c r="J76" s="52" t="n">
        <f aca="false">0</f>
        <v>0</v>
      </c>
      <c r="K76" s="52" t="n">
        <f aca="false">0</f>
        <v>0</v>
      </c>
      <c r="L76" s="52" t="n">
        <f aca="false">0</f>
        <v>0</v>
      </c>
      <c r="M76" s="52" t="n">
        <f aca="false">0</f>
        <v>0</v>
      </c>
      <c r="N76" s="52" t="n">
        <f aca="false">0</f>
        <v>0</v>
      </c>
      <c r="O76" s="52" t="n">
        <f aca="false">0</f>
        <v>0</v>
      </c>
      <c r="P76" s="52" t="n">
        <f aca="false">0</f>
        <v>0</v>
      </c>
      <c r="Q76" s="52" t="n">
        <f aca="false">0</f>
        <v>0</v>
      </c>
      <c r="R76" s="52" t="n">
        <f aca="false">0</f>
        <v>0</v>
      </c>
      <c r="S76" s="52" t="n">
        <f aca="false">0</f>
        <v>0</v>
      </c>
      <c r="T76" s="52" t="n">
        <f aca="false">0</f>
        <v>0</v>
      </c>
      <c r="U76" s="52" t="n">
        <f aca="false">0</f>
        <v>0</v>
      </c>
      <c r="V76" s="52" t="n">
        <f aca="false">0</f>
        <v>0</v>
      </c>
      <c r="W76" s="52" t="n">
        <f aca="false">0</f>
        <v>0</v>
      </c>
      <c r="X76" s="52" t="n">
        <f aca="false">0</f>
        <v>0</v>
      </c>
      <c r="Y76" s="52" t="n">
        <f aca="false">0</f>
        <v>0</v>
      </c>
      <c r="Z76" s="52" t="n">
        <f aca="false">0</f>
        <v>0</v>
      </c>
      <c r="AA76" s="52" t="n">
        <f aca="false">0</f>
        <v>0</v>
      </c>
      <c r="AB76" s="52" t="n">
        <f aca="false">0</f>
        <v>0</v>
      </c>
      <c r="AC76" s="52" t="n">
        <f aca="false">0</f>
        <v>0</v>
      </c>
      <c r="AD76" s="52" t="n">
        <f aca="false">0</f>
        <v>0</v>
      </c>
      <c r="AE76" s="52" t="n">
        <f aca="false">0</f>
        <v>0</v>
      </c>
      <c r="AF76" s="52" t="n">
        <f aca="false">0</f>
        <v>0</v>
      </c>
      <c r="AG76" s="52" t="n">
        <f aca="false">0</f>
        <v>0</v>
      </c>
      <c r="AH76" s="52" t="n">
        <f aca="false">0</f>
        <v>0</v>
      </c>
    </row>
    <row r="77" customFormat="false" ht="15" hidden="false" customHeight="true" outlineLevel="0" collapsed="false">
      <c r="A77" s="33" t="s">
        <v>1413</v>
      </c>
      <c r="C77" s="46" t="n">
        <f aca="false">SUMPRODUCT(D77:AH77,D$5:AH$5)</f>
        <v>0</v>
      </c>
      <c r="D77" s="52" t="n">
        <f aca="false">D70*D68</f>
        <v>0</v>
      </c>
      <c r="E77" s="52" t="n">
        <f aca="false">E70*E68</f>
        <v>0</v>
      </c>
      <c r="F77" s="52" t="n">
        <f aca="false">F70*F68</f>
        <v>0</v>
      </c>
      <c r="G77" s="52" t="n">
        <f aca="false">G70*G68</f>
        <v>0</v>
      </c>
      <c r="H77" s="52" t="n">
        <f aca="false">H70*H68</f>
        <v>0</v>
      </c>
      <c r="I77" s="52" t="n">
        <f aca="false">I70*I68</f>
        <v>0</v>
      </c>
      <c r="J77" s="52" t="n">
        <f aca="false">J70*J68</f>
        <v>0</v>
      </c>
      <c r="K77" s="52" t="n">
        <f aca="false">K70*K68</f>
        <v>0</v>
      </c>
      <c r="L77" s="52" t="n">
        <f aca="false">L70*L68</f>
        <v>0</v>
      </c>
      <c r="M77" s="52" t="n">
        <f aca="false">M70*M68</f>
        <v>0</v>
      </c>
      <c r="N77" s="52" t="n">
        <f aca="false">N70*N68</f>
        <v>0</v>
      </c>
      <c r="O77" s="52" t="n">
        <f aca="false">O70*O68</f>
        <v>0</v>
      </c>
      <c r="P77" s="52" t="n">
        <f aca="false">P70*P68</f>
        <v>0</v>
      </c>
      <c r="Q77" s="52" t="n">
        <f aca="false">Q70*Q68</f>
        <v>0</v>
      </c>
      <c r="R77" s="52" t="n">
        <f aca="false">R70*R68</f>
        <v>0</v>
      </c>
      <c r="S77" s="52" t="n">
        <f aca="false">S70*S68</f>
        <v>0</v>
      </c>
      <c r="T77" s="52" t="n">
        <f aca="false">T70*T68</f>
        <v>0</v>
      </c>
      <c r="U77" s="52" t="n">
        <f aca="false">U70*U68</f>
        <v>0</v>
      </c>
      <c r="V77" s="52" t="n">
        <f aca="false">V70*V68</f>
        <v>0</v>
      </c>
      <c r="W77" s="52" t="n">
        <f aca="false">W70*W68</f>
        <v>0</v>
      </c>
      <c r="X77" s="52" t="n">
        <f aca="false">X70*X68</f>
        <v>0</v>
      </c>
      <c r="Y77" s="52" t="n">
        <f aca="false">Y70*Y68</f>
        <v>0</v>
      </c>
      <c r="Z77" s="52" t="n">
        <f aca="false">Z70*Z68</f>
        <v>0</v>
      </c>
      <c r="AA77" s="52" t="n">
        <f aca="false">AA70*AA68</f>
        <v>0</v>
      </c>
      <c r="AB77" s="52" t="n">
        <f aca="false">AB70*AB68</f>
        <v>0</v>
      </c>
      <c r="AC77" s="52" t="n">
        <f aca="false">AC70*AC68</f>
        <v>0</v>
      </c>
      <c r="AD77" s="52" t="n">
        <f aca="false">AD70*AD68</f>
        <v>0</v>
      </c>
      <c r="AE77" s="52" t="n">
        <f aca="false">AE70*AE68</f>
        <v>0</v>
      </c>
      <c r="AF77" s="52" t="n">
        <f aca="false">AF70*AF68</f>
        <v>0</v>
      </c>
      <c r="AG77" s="52" t="n">
        <f aca="false">AG70*AG68</f>
        <v>0</v>
      </c>
      <c r="AH77" s="52" t="n">
        <f aca="false">AH70*AH68</f>
        <v>0</v>
      </c>
    </row>
    <row r="79" customFormat="false" ht="15" hidden="false" customHeight="true" outlineLevel="0" collapsed="false">
      <c r="A79" s="53" t="s">
        <v>1418</v>
      </c>
      <c r="B79" s="58" t="s">
        <v>1403</v>
      </c>
      <c r="C79" s="59" t="n">
        <f aca="false">in_G02a</f>
        <v>20</v>
      </c>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row>
    <row r="80" customFormat="false" ht="15" hidden="false" customHeight="true" outlineLevel="0" collapsed="false">
      <c r="A80" s="33" t="s">
        <v>1404</v>
      </c>
      <c r="D80" s="61" t="n">
        <f aca="false">IF(D$3&lt;=in_G02a,1,0)</f>
        <v>1</v>
      </c>
      <c r="E80" s="61" t="n">
        <f aca="false">IF(E$3&lt;=in_G02a,1,0)</f>
        <v>1</v>
      </c>
      <c r="F80" s="61" t="n">
        <f aca="false">IF(F$3&lt;=in_G02a,1,0)</f>
        <v>1</v>
      </c>
      <c r="G80" s="61" t="n">
        <f aca="false">IF(G$3&lt;=in_G02a,1,0)</f>
        <v>1</v>
      </c>
      <c r="H80" s="61" t="n">
        <f aca="false">IF(H$3&lt;=in_G02a,1,0)</f>
        <v>1</v>
      </c>
      <c r="I80" s="61" t="n">
        <f aca="false">IF(I$3&lt;=in_G02a,1,0)</f>
        <v>1</v>
      </c>
      <c r="J80" s="61" t="n">
        <f aca="false">IF(J$3&lt;=in_G02a,1,0)</f>
        <v>1</v>
      </c>
      <c r="K80" s="61" t="n">
        <f aca="false">IF(K$3&lt;=in_G02a,1,0)</f>
        <v>1</v>
      </c>
      <c r="L80" s="61" t="n">
        <f aca="false">IF(L$3&lt;=in_G02a,1,0)</f>
        <v>1</v>
      </c>
      <c r="M80" s="61" t="n">
        <f aca="false">IF(M$3&lt;=in_G02a,1,0)</f>
        <v>1</v>
      </c>
      <c r="N80" s="61" t="n">
        <f aca="false">IF(N$3&lt;=in_G02a,1,0)</f>
        <v>1</v>
      </c>
      <c r="O80" s="61" t="n">
        <f aca="false">IF(O$3&lt;=in_G02a,1,0)</f>
        <v>1</v>
      </c>
      <c r="P80" s="61" t="n">
        <f aca="false">IF(P$3&lt;=in_G02a,1,0)</f>
        <v>1</v>
      </c>
      <c r="Q80" s="61" t="n">
        <f aca="false">IF(Q$3&lt;=in_G02a,1,0)</f>
        <v>1</v>
      </c>
      <c r="R80" s="61" t="n">
        <f aca="false">IF(R$3&lt;=in_G02a,1,0)</f>
        <v>1</v>
      </c>
      <c r="S80" s="61" t="n">
        <f aca="false">IF(S$3&lt;=in_G02a,1,0)</f>
        <v>1</v>
      </c>
      <c r="T80" s="61" t="n">
        <f aca="false">IF(T$3&lt;=in_G02a,1,0)</f>
        <v>1</v>
      </c>
      <c r="U80" s="61" t="n">
        <f aca="false">IF(U$3&lt;=in_G02a,1,0)</f>
        <v>1</v>
      </c>
      <c r="V80" s="61" t="n">
        <f aca="false">IF(V$3&lt;=in_G02a,1,0)</f>
        <v>1</v>
      </c>
      <c r="W80" s="61" t="n">
        <f aca="false">IF(W$3&lt;=in_G02a,1,0)</f>
        <v>1</v>
      </c>
      <c r="X80" s="61" t="n">
        <f aca="false">IF(X$3&lt;=in_G02a,1,0)</f>
        <v>1</v>
      </c>
      <c r="Y80" s="61" t="n">
        <f aca="false">IF(Y$3&lt;=in_G02a,1,0)</f>
        <v>0</v>
      </c>
      <c r="Z80" s="61" t="n">
        <f aca="false">IF(Z$3&lt;=in_G02a,1,0)</f>
        <v>0</v>
      </c>
      <c r="AA80" s="61" t="n">
        <f aca="false">IF(AA$3&lt;=in_G02a,1,0)</f>
        <v>0</v>
      </c>
      <c r="AB80" s="61" t="n">
        <f aca="false">IF(AB$3&lt;=in_G02a,1,0)</f>
        <v>0</v>
      </c>
      <c r="AC80" s="61" t="n">
        <f aca="false">IF(AC$3&lt;=in_G02a,1,0)</f>
        <v>0</v>
      </c>
      <c r="AD80" s="61" t="n">
        <f aca="false">IF(AD$3&lt;=in_G02a,1,0)</f>
        <v>0</v>
      </c>
      <c r="AE80" s="61" t="n">
        <f aca="false">IF(AE$3&lt;=in_G02a,1,0)</f>
        <v>0</v>
      </c>
      <c r="AF80" s="61" t="n">
        <f aca="false">IF(AF$3&lt;=in_G02a,1,0)</f>
        <v>0</v>
      </c>
      <c r="AG80" s="61" t="n">
        <f aca="false">IF(AG$3&lt;=in_G02a,1,0)</f>
        <v>0</v>
      </c>
      <c r="AH80" s="61" t="n">
        <f aca="false">IF(AH$3&lt;=in_G02a,1,0)</f>
        <v>0</v>
      </c>
    </row>
    <row r="81" customFormat="false" ht="15" hidden="false" customHeight="true" outlineLevel="0" collapsed="false">
      <c r="A81" s="33" t="s">
        <v>1405</v>
      </c>
      <c r="C81" s="46" t="n">
        <f aca="false">SUMPRODUCT(D81:AH81,D$5:AH$5)</f>
        <v>102768.470653546</v>
      </c>
      <c r="D81" s="52" t="n">
        <f aca="false">IF(D$3=0,c_pv_cap,0)+IF(D$3=in_E26,in_E12*c_pv_cap,0)</f>
        <v>100000</v>
      </c>
      <c r="E81" s="52" t="n">
        <f aca="false">IF(E$3=0,c_pv_cap,0)+IF(E$3=in_E26,in_E12*c_pv_cap,0)</f>
        <v>0</v>
      </c>
      <c r="F81" s="52" t="n">
        <f aca="false">IF(F$3=0,c_pv_cap,0)+IF(F$3=in_E26,in_E12*c_pv_cap,0)</f>
        <v>0</v>
      </c>
      <c r="G81" s="52" t="n">
        <f aca="false">IF(G$3=0,c_pv_cap,0)+IF(G$3=in_E26,in_E12*c_pv_cap,0)</f>
        <v>0</v>
      </c>
      <c r="H81" s="52" t="n">
        <f aca="false">IF(H$3=0,c_pv_cap,0)+IF(H$3=in_E26,in_E12*c_pv_cap,0)</f>
        <v>0</v>
      </c>
      <c r="I81" s="52" t="n">
        <f aca="false">IF(I$3=0,c_pv_cap,0)+IF(I$3=in_E26,in_E12*c_pv_cap,0)</f>
        <v>0</v>
      </c>
      <c r="J81" s="52" t="n">
        <f aca="false">IF(J$3=0,c_pv_cap,0)+IF(J$3=in_E26,in_E12*c_pv_cap,0)</f>
        <v>0</v>
      </c>
      <c r="K81" s="52" t="n">
        <f aca="false">IF(K$3=0,c_pv_cap,0)+IF(K$3=in_E26,in_E12*c_pv_cap,0)</f>
        <v>0</v>
      </c>
      <c r="L81" s="52" t="n">
        <f aca="false">IF(L$3=0,c_pv_cap,0)+IF(L$3=in_E26,in_E12*c_pv_cap,0)</f>
        <v>0</v>
      </c>
      <c r="M81" s="52" t="n">
        <f aca="false">IF(M$3=0,c_pv_cap,0)+IF(M$3=in_E26,in_E12*c_pv_cap,0)</f>
        <v>0</v>
      </c>
      <c r="N81" s="52" t="n">
        <f aca="false">IF(N$3=0,c_pv_cap,0)+IF(N$3=in_E26,in_E12*c_pv_cap,0)</f>
        <v>0</v>
      </c>
      <c r="O81" s="52" t="n">
        <f aca="false">IF(O$3=0,c_pv_cap,0)+IF(O$3=in_E26,in_E12*c_pv_cap,0)</f>
        <v>0</v>
      </c>
      <c r="P81" s="52" t="n">
        <f aca="false">IF(P$3=0,c_pv_cap,0)+IF(P$3=in_E26,in_E12*c_pv_cap,0)</f>
        <v>12000</v>
      </c>
      <c r="Q81" s="52" t="n">
        <f aca="false">IF(Q$3=0,c_pv_cap,0)+IF(Q$3=in_E26,in_E12*c_pv_cap,0)</f>
        <v>0</v>
      </c>
      <c r="R81" s="52" t="n">
        <f aca="false">IF(R$3=0,c_pv_cap,0)+IF(R$3=in_E26,in_E12*c_pv_cap,0)</f>
        <v>0</v>
      </c>
      <c r="S81" s="52" t="n">
        <f aca="false">IF(S$3=0,c_pv_cap,0)+IF(S$3=in_E26,in_E12*c_pv_cap,0)</f>
        <v>0</v>
      </c>
      <c r="T81" s="52" t="n">
        <f aca="false">IF(T$3=0,c_pv_cap,0)+IF(T$3=in_E26,in_E12*c_pv_cap,0)</f>
        <v>0</v>
      </c>
      <c r="U81" s="52" t="n">
        <f aca="false">IF(U$3=0,c_pv_cap,0)+IF(U$3=in_E26,in_E12*c_pv_cap,0)</f>
        <v>0</v>
      </c>
      <c r="V81" s="52" t="n">
        <f aca="false">IF(V$3=0,c_pv_cap,0)+IF(V$3=in_E26,in_E12*c_pv_cap,0)</f>
        <v>0</v>
      </c>
      <c r="W81" s="52" t="n">
        <f aca="false">IF(W$3=0,c_pv_cap,0)+IF(W$3=in_E26,in_E12*c_pv_cap,0)</f>
        <v>0</v>
      </c>
      <c r="X81" s="52" t="n">
        <f aca="false">IF(X$3=0,c_pv_cap,0)+IF(X$3=in_E26,in_E12*c_pv_cap,0)</f>
        <v>0</v>
      </c>
      <c r="Y81" s="52" t="n">
        <f aca="false">IF(Y$3=0,c_pv_cap,0)+IF(Y$3=in_E26,in_E12*c_pv_cap,0)</f>
        <v>0</v>
      </c>
      <c r="Z81" s="52" t="n">
        <f aca="false">IF(Z$3=0,c_pv_cap,0)+IF(Z$3=in_E26,in_E12*c_pv_cap,0)</f>
        <v>0</v>
      </c>
      <c r="AA81" s="52" t="n">
        <f aca="false">IF(AA$3=0,c_pv_cap,0)+IF(AA$3=in_E26,in_E12*c_pv_cap,0)</f>
        <v>0</v>
      </c>
      <c r="AB81" s="52" t="n">
        <f aca="false">IF(AB$3=0,c_pv_cap,0)+IF(AB$3=in_E26,in_E12*c_pv_cap,0)</f>
        <v>0</v>
      </c>
      <c r="AC81" s="52" t="n">
        <f aca="false">IF(AC$3=0,c_pv_cap,0)+IF(AC$3=in_E26,in_E12*c_pv_cap,0)</f>
        <v>0</v>
      </c>
      <c r="AD81" s="52" t="n">
        <f aca="false">IF(AD$3=0,c_pv_cap,0)+IF(AD$3=in_E26,in_E12*c_pv_cap,0)</f>
        <v>0</v>
      </c>
      <c r="AE81" s="52" t="n">
        <f aca="false">IF(AE$3=0,c_pv_cap,0)+IF(AE$3=in_E26,in_E12*c_pv_cap,0)</f>
        <v>0</v>
      </c>
      <c r="AF81" s="52" t="n">
        <f aca="false">IF(AF$3=0,c_pv_cap,0)+IF(AF$3=in_E26,in_E12*c_pv_cap,0)</f>
        <v>0</v>
      </c>
      <c r="AG81" s="52" t="n">
        <f aca="false">IF(AG$3=0,c_pv_cap,0)+IF(AG$3=in_E26,in_E12*c_pv_cap,0)</f>
        <v>0</v>
      </c>
      <c r="AH81" s="52" t="n">
        <f aca="false">IF(AH$3=0,c_pv_cap,0)+IF(AH$3=in_E26,in_E12*c_pv_cap,0)</f>
        <v>0</v>
      </c>
    </row>
    <row r="82" customFormat="false" ht="15" hidden="false" customHeight="true" outlineLevel="0" collapsed="false">
      <c r="A82" s="33" t="s">
        <v>1406</v>
      </c>
      <c r="D82" s="52" t="n">
        <f aca="false">0</f>
        <v>0</v>
      </c>
      <c r="E82" s="52" t="n">
        <f aca="false">0</f>
        <v>0</v>
      </c>
      <c r="F82" s="52" t="n">
        <f aca="false">0</f>
        <v>0</v>
      </c>
      <c r="G82" s="52" t="n">
        <f aca="false">0</f>
        <v>0</v>
      </c>
      <c r="H82" s="52" t="n">
        <f aca="false">0</f>
        <v>0</v>
      </c>
      <c r="I82" s="52" t="n">
        <f aca="false">0</f>
        <v>0</v>
      </c>
      <c r="J82" s="52" t="n">
        <f aca="false">0</f>
        <v>0</v>
      </c>
      <c r="K82" s="52" t="n">
        <f aca="false">0</f>
        <v>0</v>
      </c>
      <c r="L82" s="52" t="n">
        <f aca="false">0</f>
        <v>0</v>
      </c>
      <c r="M82" s="52" t="n">
        <f aca="false">0</f>
        <v>0</v>
      </c>
      <c r="N82" s="52" t="n">
        <f aca="false">0</f>
        <v>0</v>
      </c>
      <c r="O82" s="52" t="n">
        <f aca="false">0</f>
        <v>0</v>
      </c>
      <c r="P82" s="52" t="n">
        <f aca="false">0</f>
        <v>0</v>
      </c>
      <c r="Q82" s="52" t="n">
        <f aca="false">0</f>
        <v>0</v>
      </c>
      <c r="R82" s="52" t="n">
        <f aca="false">0</f>
        <v>0</v>
      </c>
      <c r="S82" s="52" t="n">
        <f aca="false">0</f>
        <v>0</v>
      </c>
      <c r="T82" s="52" t="n">
        <f aca="false">0</f>
        <v>0</v>
      </c>
      <c r="U82" s="52" t="n">
        <f aca="false">0</f>
        <v>0</v>
      </c>
      <c r="V82" s="52" t="n">
        <f aca="false">0</f>
        <v>0</v>
      </c>
      <c r="W82" s="52" t="n">
        <f aca="false">0</f>
        <v>0</v>
      </c>
      <c r="X82" s="52" t="n">
        <f aca="false">0</f>
        <v>0</v>
      </c>
      <c r="Y82" s="52" t="n">
        <f aca="false">0</f>
        <v>0</v>
      </c>
      <c r="Z82" s="52" t="n">
        <f aca="false">0</f>
        <v>0</v>
      </c>
      <c r="AA82" s="52" t="n">
        <f aca="false">0</f>
        <v>0</v>
      </c>
      <c r="AB82" s="52" t="n">
        <f aca="false">0</f>
        <v>0</v>
      </c>
      <c r="AC82" s="52" t="n">
        <f aca="false">0</f>
        <v>0</v>
      </c>
      <c r="AD82" s="52" t="n">
        <f aca="false">0</f>
        <v>0</v>
      </c>
      <c r="AE82" s="52" t="n">
        <f aca="false">0</f>
        <v>0</v>
      </c>
      <c r="AF82" s="52" t="n">
        <f aca="false">0</f>
        <v>0</v>
      </c>
      <c r="AG82" s="52" t="n">
        <f aca="false">0</f>
        <v>0</v>
      </c>
      <c r="AH82" s="52" t="n">
        <f aca="false">0</f>
        <v>0</v>
      </c>
    </row>
    <row r="83" customFormat="false" ht="15" hidden="false" customHeight="true" outlineLevel="0" collapsed="false">
      <c r="A83" s="33" t="s">
        <v>1407</v>
      </c>
      <c r="D83" s="52" t="n">
        <f aca="false">IF(D$3=0,0,MIN(in_C08*1000,in_E09*in_E02*(1-in_E23)^(D$3-1))*in_E03)</f>
        <v>0</v>
      </c>
      <c r="E83" s="52" t="n">
        <f aca="false">IF(E$3=0,0,MIN(in_C08*1000,in_E09*in_E02*(1-in_E23)^(E$3-1))*in_E03)</f>
        <v>28120</v>
      </c>
      <c r="F83" s="52" t="n">
        <f aca="false">IF(F$3=0,0,MIN(in_C08*1000,in_E09*in_E02*(1-in_E23)^(F$3-1))*in_E03)</f>
        <v>27979.4</v>
      </c>
      <c r="G83" s="52" t="n">
        <f aca="false">IF(G$3=0,0,MIN(in_C08*1000,in_E09*in_E02*(1-in_E23)^(G$3-1))*in_E03)</f>
        <v>27839.503</v>
      </c>
      <c r="H83" s="52" t="n">
        <f aca="false">IF(H$3=0,0,MIN(in_C08*1000,in_E09*in_E02*(1-in_E23)^(H$3-1))*in_E03)</f>
        <v>27700.305485</v>
      </c>
      <c r="I83" s="52" t="n">
        <f aca="false">IF(I$3=0,0,MIN(in_C08*1000,in_E09*in_E02*(1-in_E23)^(I$3-1))*in_E03)</f>
        <v>27561.803957575</v>
      </c>
      <c r="J83" s="52" t="n">
        <f aca="false">IF(J$3=0,0,MIN(in_C08*1000,in_E09*in_E02*(1-in_E23)^(J$3-1))*in_E03)</f>
        <v>27423.9949377871</v>
      </c>
      <c r="K83" s="52" t="n">
        <f aca="false">IF(K$3=0,0,MIN(in_C08*1000,in_E09*in_E02*(1-in_E23)^(K$3-1))*in_E03)</f>
        <v>27286.8749630982</v>
      </c>
      <c r="L83" s="52" t="n">
        <f aca="false">IF(L$3=0,0,MIN(in_C08*1000,in_E09*in_E02*(1-in_E23)^(L$3-1))*in_E03)</f>
        <v>27150.4405882827</v>
      </c>
      <c r="M83" s="52" t="n">
        <f aca="false">IF(M$3=0,0,MIN(in_C08*1000,in_E09*in_E02*(1-in_E23)^(M$3-1))*in_E03)</f>
        <v>27014.6883853413</v>
      </c>
      <c r="N83" s="52" t="n">
        <f aca="false">IF(N$3=0,0,MIN(in_C08*1000,in_E09*in_E02*(1-in_E23)^(N$3-1))*in_E03)</f>
        <v>26879.6149434146</v>
      </c>
      <c r="O83" s="52" t="n">
        <f aca="false">IF(O$3=0,0,MIN(in_C08*1000,in_E09*in_E02*(1-in_E23)^(O$3-1))*in_E03)</f>
        <v>26745.2168686975</v>
      </c>
      <c r="P83" s="52" t="n">
        <f aca="false">IF(P$3=0,0,MIN(in_C08*1000,in_E09*in_E02*(1-in_E23)^(P$3-1))*in_E03)</f>
        <v>26611.490784354</v>
      </c>
      <c r="Q83" s="52" t="n">
        <f aca="false">IF(Q$3=0,0,MIN(in_C08*1000,in_E09*in_E02*(1-in_E23)^(Q$3-1))*in_E03)</f>
        <v>26478.4333304322</v>
      </c>
      <c r="R83" s="52" t="n">
        <f aca="false">IF(R$3=0,0,MIN(in_C08*1000,in_E09*in_E02*(1-in_E23)^(R$3-1))*in_E03)</f>
        <v>26346.0411637801</v>
      </c>
      <c r="S83" s="52" t="n">
        <f aca="false">IF(S$3=0,0,MIN(in_C08*1000,in_E09*in_E02*(1-in_E23)^(S$3-1))*in_E03)</f>
        <v>26214.3109579612</v>
      </c>
      <c r="T83" s="52" t="n">
        <f aca="false">IF(T$3=0,0,MIN(in_C08*1000,in_E09*in_E02*(1-in_E23)^(T$3-1))*in_E03)</f>
        <v>26083.2394031714</v>
      </c>
      <c r="U83" s="52" t="n">
        <f aca="false">IF(U$3=0,0,MIN(in_C08*1000,in_E09*in_E02*(1-in_E23)^(U$3-1))*in_E03)</f>
        <v>25952.8232061555</v>
      </c>
      <c r="V83" s="52" t="n">
        <f aca="false">IF(V$3=0,0,MIN(in_C08*1000,in_E09*in_E02*(1-in_E23)^(V$3-1))*in_E03)</f>
        <v>25823.0590901247</v>
      </c>
      <c r="W83" s="52" t="n">
        <f aca="false">IF(W$3=0,0,MIN(in_C08*1000,in_E09*in_E02*(1-in_E23)^(W$3-1))*in_E03)</f>
        <v>25693.9437946741</v>
      </c>
      <c r="X83" s="52" t="n">
        <f aca="false">IF(X$3=0,0,MIN(in_C08*1000,in_E09*in_E02*(1-in_E23)^(X$3-1))*in_E03)</f>
        <v>25565.4740757007</v>
      </c>
      <c r="Y83" s="52" t="n">
        <f aca="false">IF(Y$3=0,0,MIN(in_C08*1000,in_E09*in_E02*(1-in_E23)^(Y$3-1))*in_E03)</f>
        <v>25437.6467053222</v>
      </c>
      <c r="Z83" s="52" t="n">
        <f aca="false">IF(Z$3=0,0,MIN(in_C08*1000,in_E09*in_E02*(1-in_E23)^(Z$3-1))*in_E03)</f>
        <v>25310.4584717956</v>
      </c>
      <c r="AA83" s="52" t="n">
        <f aca="false">IF(AA$3=0,0,MIN(in_C08*1000,in_E09*in_E02*(1-in_E23)^(AA$3-1))*in_E03)</f>
        <v>25183.9061794367</v>
      </c>
      <c r="AB83" s="52" t="n">
        <f aca="false">IF(AB$3=0,0,MIN(in_C08*1000,in_E09*in_E02*(1-in_E23)^(AB$3-1))*in_E03)</f>
        <v>25057.9866485395</v>
      </c>
      <c r="AC83" s="52" t="n">
        <f aca="false">IF(AC$3=0,0,MIN(in_C08*1000,in_E09*in_E02*(1-in_E23)^(AC$3-1))*in_E03)</f>
        <v>24932.6967152968</v>
      </c>
      <c r="AD83" s="52" t="n">
        <f aca="false">IF(AD$3=0,0,MIN(in_C08*1000,in_E09*in_E02*(1-in_E23)^(AD$3-1))*in_E03)</f>
        <v>24808.0332317203</v>
      </c>
      <c r="AE83" s="52" t="n">
        <f aca="false">IF(AE$3=0,0,MIN(in_C08*1000,in_E09*in_E02*(1-in_E23)^(AE$3-1))*in_E03)</f>
        <v>24683.9930655617</v>
      </c>
      <c r="AF83" s="52" t="n">
        <f aca="false">IF(AF$3=0,0,MIN(in_C08*1000,in_E09*in_E02*(1-in_E23)^(AF$3-1))*in_E03)</f>
        <v>24560.5731002339</v>
      </c>
      <c r="AG83" s="52" t="n">
        <f aca="false">IF(AG$3=0,0,MIN(in_C08*1000,in_E09*in_E02*(1-in_E23)^(AG$3-1))*in_E03)</f>
        <v>24437.7702347327</v>
      </c>
      <c r="AH83" s="52" t="n">
        <f aca="false">IF(AH$3=0,0,MIN(in_C08*1000,in_E09*in_E02*(1-in_E23)^(AH$3-1))*in_E03)</f>
        <v>24315.5813835591</v>
      </c>
    </row>
    <row r="84" customFormat="false" ht="15" hidden="false" customHeight="true" outlineLevel="0" collapsed="false">
      <c r="A84" s="33" t="s">
        <v>1408</v>
      </c>
      <c r="D84" s="52" t="n">
        <f aca="false">IF(D$3=0,0,in_E22*c_pv_cap)</f>
        <v>0</v>
      </c>
      <c r="E84" s="52" t="n">
        <f aca="false">IF(E$3=0,0,in_E22*c_pv_cap)</f>
        <v>1500</v>
      </c>
      <c r="F84" s="52" t="n">
        <f aca="false">IF(F$3=0,0,in_E22*c_pv_cap)</f>
        <v>1500</v>
      </c>
      <c r="G84" s="52" t="n">
        <f aca="false">IF(G$3=0,0,in_E22*c_pv_cap)</f>
        <v>1500</v>
      </c>
      <c r="H84" s="52" t="n">
        <f aca="false">IF(H$3=0,0,in_E22*c_pv_cap)</f>
        <v>1500</v>
      </c>
      <c r="I84" s="52" t="n">
        <f aca="false">IF(I$3=0,0,in_E22*c_pv_cap)</f>
        <v>1500</v>
      </c>
      <c r="J84" s="52" t="n">
        <f aca="false">IF(J$3=0,0,in_E22*c_pv_cap)</f>
        <v>1500</v>
      </c>
      <c r="K84" s="52" t="n">
        <f aca="false">IF(K$3=0,0,in_E22*c_pv_cap)</f>
        <v>1500</v>
      </c>
      <c r="L84" s="52" t="n">
        <f aca="false">IF(L$3=0,0,in_E22*c_pv_cap)</f>
        <v>1500</v>
      </c>
      <c r="M84" s="52" t="n">
        <f aca="false">IF(M$3=0,0,in_E22*c_pv_cap)</f>
        <v>1500</v>
      </c>
      <c r="N84" s="52" t="n">
        <f aca="false">IF(N$3=0,0,in_E22*c_pv_cap)</f>
        <v>1500</v>
      </c>
      <c r="O84" s="52" t="n">
        <f aca="false">IF(O$3=0,0,in_E22*c_pv_cap)</f>
        <v>1500</v>
      </c>
      <c r="P84" s="52" t="n">
        <f aca="false">IF(P$3=0,0,in_E22*c_pv_cap)</f>
        <v>1500</v>
      </c>
      <c r="Q84" s="52" t="n">
        <f aca="false">IF(Q$3=0,0,in_E22*c_pv_cap)</f>
        <v>1500</v>
      </c>
      <c r="R84" s="52" t="n">
        <f aca="false">IF(R$3=0,0,in_E22*c_pv_cap)</f>
        <v>1500</v>
      </c>
      <c r="S84" s="52" t="n">
        <f aca="false">IF(S$3=0,0,in_E22*c_pv_cap)</f>
        <v>1500</v>
      </c>
      <c r="T84" s="52" t="n">
        <f aca="false">IF(T$3=0,0,in_E22*c_pv_cap)</f>
        <v>1500</v>
      </c>
      <c r="U84" s="52" t="n">
        <f aca="false">IF(U$3=0,0,in_E22*c_pv_cap)</f>
        <v>1500</v>
      </c>
      <c r="V84" s="52" t="n">
        <f aca="false">IF(V$3=0,0,in_E22*c_pv_cap)</f>
        <v>1500</v>
      </c>
      <c r="W84" s="52" t="n">
        <f aca="false">IF(W$3=0,0,in_E22*c_pv_cap)</f>
        <v>1500</v>
      </c>
      <c r="X84" s="52" t="n">
        <f aca="false">IF(X$3=0,0,in_E22*c_pv_cap)</f>
        <v>1500</v>
      </c>
      <c r="Y84" s="52" t="n">
        <f aca="false">IF(Y$3=0,0,in_E22*c_pv_cap)</f>
        <v>1500</v>
      </c>
      <c r="Z84" s="52" t="n">
        <f aca="false">IF(Z$3=0,0,in_E22*c_pv_cap)</f>
        <v>1500</v>
      </c>
      <c r="AA84" s="52" t="n">
        <f aca="false">IF(AA$3=0,0,in_E22*c_pv_cap)</f>
        <v>1500</v>
      </c>
      <c r="AB84" s="52" t="n">
        <f aca="false">IF(AB$3=0,0,in_E22*c_pv_cap)</f>
        <v>1500</v>
      </c>
      <c r="AC84" s="52" t="n">
        <f aca="false">IF(AC$3=0,0,in_E22*c_pv_cap)</f>
        <v>1500</v>
      </c>
      <c r="AD84" s="52" t="n">
        <f aca="false">IF(AD$3=0,0,in_E22*c_pv_cap)</f>
        <v>1500</v>
      </c>
      <c r="AE84" s="52" t="n">
        <f aca="false">IF(AE$3=0,0,in_E22*c_pv_cap)</f>
        <v>1500</v>
      </c>
      <c r="AF84" s="52" t="n">
        <f aca="false">IF(AF$3=0,0,in_E22*c_pv_cap)</f>
        <v>1500</v>
      </c>
      <c r="AG84" s="52" t="n">
        <f aca="false">IF(AG$3=0,0,in_E22*c_pv_cap)</f>
        <v>1500</v>
      </c>
      <c r="AH84" s="52" t="n">
        <f aca="false">IF(AH$3=0,0,in_E22*c_pv_cap)</f>
        <v>1500</v>
      </c>
    </row>
    <row r="85" customFormat="false" ht="15" hidden="false" customHeight="true" outlineLevel="0" collapsed="false">
      <c r="A85" s="33" t="s">
        <v>1409</v>
      </c>
      <c r="D85" s="52" t="n">
        <f aca="false">D82+D83-D84</f>
        <v>0</v>
      </c>
      <c r="E85" s="52" t="n">
        <f aca="false">E82+E83-E84</f>
        <v>26620</v>
      </c>
      <c r="F85" s="52" t="n">
        <f aca="false">F82+F83-F84</f>
        <v>26479.4</v>
      </c>
      <c r="G85" s="52" t="n">
        <f aca="false">G82+G83-G84</f>
        <v>26339.503</v>
      </c>
      <c r="H85" s="52" t="n">
        <f aca="false">H82+H83-H84</f>
        <v>26200.305485</v>
      </c>
      <c r="I85" s="52" t="n">
        <f aca="false">I82+I83-I84</f>
        <v>26061.803957575</v>
      </c>
      <c r="J85" s="52" t="n">
        <f aca="false">J82+J83-J84</f>
        <v>25923.9949377871</v>
      </c>
      <c r="K85" s="52" t="n">
        <f aca="false">K82+K83-K84</f>
        <v>25786.8749630982</v>
      </c>
      <c r="L85" s="52" t="n">
        <f aca="false">L82+L83-L84</f>
        <v>25650.4405882827</v>
      </c>
      <c r="M85" s="52" t="n">
        <f aca="false">M82+M83-M84</f>
        <v>25514.6883853413</v>
      </c>
      <c r="N85" s="52" t="n">
        <f aca="false">N82+N83-N84</f>
        <v>25379.6149434146</v>
      </c>
      <c r="O85" s="52" t="n">
        <f aca="false">O82+O83-O84</f>
        <v>25245.2168686975</v>
      </c>
      <c r="P85" s="52" t="n">
        <f aca="false">P82+P83-P84</f>
        <v>25111.490784354</v>
      </c>
      <c r="Q85" s="52" t="n">
        <f aca="false">Q82+Q83-Q84</f>
        <v>24978.4333304322</v>
      </c>
      <c r="R85" s="52" t="n">
        <f aca="false">R82+R83-R84</f>
        <v>24846.0411637801</v>
      </c>
      <c r="S85" s="52" t="n">
        <f aca="false">S82+S83-S84</f>
        <v>24714.3109579612</v>
      </c>
      <c r="T85" s="52" t="n">
        <f aca="false">T82+T83-T84</f>
        <v>24583.2394031714</v>
      </c>
      <c r="U85" s="52" t="n">
        <f aca="false">U82+U83-U84</f>
        <v>24452.8232061555</v>
      </c>
      <c r="V85" s="52" t="n">
        <f aca="false">V82+V83-V84</f>
        <v>24323.0590901247</v>
      </c>
      <c r="W85" s="52" t="n">
        <f aca="false">W82+W83-W84</f>
        <v>24193.9437946741</v>
      </c>
      <c r="X85" s="52" t="n">
        <f aca="false">X82+X83-X84</f>
        <v>24065.4740757007</v>
      </c>
      <c r="Y85" s="52" t="n">
        <f aca="false">Y82+Y83-Y84</f>
        <v>23937.6467053222</v>
      </c>
      <c r="Z85" s="52" t="n">
        <f aca="false">Z82+Z83-Z84</f>
        <v>23810.4584717956</v>
      </c>
      <c r="AA85" s="52" t="n">
        <f aca="false">AA82+AA83-AA84</f>
        <v>23683.9061794367</v>
      </c>
      <c r="AB85" s="52" t="n">
        <f aca="false">AB82+AB83-AB84</f>
        <v>23557.9866485395</v>
      </c>
      <c r="AC85" s="52" t="n">
        <f aca="false">AC82+AC83-AC84</f>
        <v>23432.6967152968</v>
      </c>
      <c r="AD85" s="52" t="n">
        <f aca="false">AD82+AD83-AD84</f>
        <v>23308.0332317203</v>
      </c>
      <c r="AE85" s="52" t="n">
        <f aca="false">AE82+AE83-AE84</f>
        <v>23183.9930655617</v>
      </c>
      <c r="AF85" s="52" t="n">
        <f aca="false">AF82+AF83-AF84</f>
        <v>23060.5731002339</v>
      </c>
      <c r="AG85" s="52" t="n">
        <f aca="false">AG82+AG83-AG84</f>
        <v>22937.7702347327</v>
      </c>
      <c r="AH85" s="52" t="n">
        <f aca="false">AH82+AH83-AH84</f>
        <v>22815.5813835591</v>
      </c>
    </row>
    <row r="86" customFormat="false" ht="15" hidden="false" customHeight="true" outlineLevel="0" collapsed="false">
      <c r="A86" s="33" t="s">
        <v>1410</v>
      </c>
      <c r="D86" s="52" t="n">
        <f aca="false">D$4*MAX(0,D85)</f>
        <v>0</v>
      </c>
      <c r="E86" s="52" t="n">
        <f aca="false">E$4*MAX(0,E85)</f>
        <v>0</v>
      </c>
      <c r="F86" s="52" t="n">
        <f aca="false">F$4*MAX(0,F85)</f>
        <v>0</v>
      </c>
      <c r="G86" s="52" t="n">
        <f aca="false">G$4*MAX(0,G85)</f>
        <v>0</v>
      </c>
      <c r="H86" s="52" t="n">
        <f aca="false">H$4*MAX(0,H85)</f>
        <v>0</v>
      </c>
      <c r="I86" s="52" t="n">
        <f aca="false">I$4*MAX(0,I85)</f>
        <v>0</v>
      </c>
      <c r="J86" s="52" t="n">
        <f aca="false">J$4*MAX(0,J85)</f>
        <v>0</v>
      </c>
      <c r="K86" s="52" t="n">
        <f aca="false">K$4*MAX(0,K85)</f>
        <v>0</v>
      </c>
      <c r="L86" s="52" t="n">
        <f aca="false">L$4*MAX(0,L85)</f>
        <v>0</v>
      </c>
      <c r="M86" s="52" t="n">
        <f aca="false">M$4*MAX(0,M85)</f>
        <v>0</v>
      </c>
      <c r="N86" s="52" t="n">
        <f aca="false">N$4*MAX(0,N85)</f>
        <v>0</v>
      </c>
      <c r="O86" s="52" t="n">
        <f aca="false">O$4*MAX(0,O85)</f>
        <v>4165.46078333509</v>
      </c>
      <c r="P86" s="52" t="n">
        <f aca="false">P$4*MAX(0,P85)</f>
        <v>4143.39597941841</v>
      </c>
      <c r="Q86" s="52" t="n">
        <f aca="false">Q$4*MAX(0,Q85)</f>
        <v>4121.44149952132</v>
      </c>
      <c r="R86" s="52" t="n">
        <f aca="false">R$4*MAX(0,R85)</f>
        <v>4099.59679202371</v>
      </c>
      <c r="S86" s="52" t="n">
        <f aca="false">S$4*MAX(0,S85)</f>
        <v>4077.8613080636</v>
      </c>
      <c r="T86" s="52" t="n">
        <f aca="false">T$4*MAX(0,T85)</f>
        <v>4056.23450152328</v>
      </c>
      <c r="U86" s="52" t="n">
        <f aca="false">U$4*MAX(0,U85)</f>
        <v>4034.71582901566</v>
      </c>
      <c r="V86" s="52" t="n">
        <f aca="false">V$4*MAX(0,V85)</f>
        <v>4013.30474987058</v>
      </c>
      <c r="W86" s="52" t="n">
        <f aca="false">W$4*MAX(0,W85)</f>
        <v>3992.00072612123</v>
      </c>
      <c r="X86" s="52" t="n">
        <f aca="false">X$4*MAX(0,X85)</f>
        <v>3970.80322249062</v>
      </c>
      <c r="Y86" s="52" t="n">
        <f aca="false">Y$4*MAX(0,Y85)</f>
        <v>3949.71170637817</v>
      </c>
      <c r="Z86" s="52" t="n">
        <f aca="false">Z$4*MAX(0,Z85)</f>
        <v>3928.72564784628</v>
      </c>
      <c r="AA86" s="52" t="n">
        <f aca="false">AA$4*MAX(0,AA85)</f>
        <v>3907.84451960705</v>
      </c>
      <c r="AB86" s="52" t="n">
        <f aca="false">AB$4*MAX(0,AB85)</f>
        <v>3887.06779700901</v>
      </c>
      <c r="AC86" s="52" t="n">
        <f aca="false">AC$4*MAX(0,AC85)</f>
        <v>3866.39495802397</v>
      </c>
      <c r="AD86" s="52" t="n">
        <f aca="false">AD$4*MAX(0,AD85)</f>
        <v>3845.82548323385</v>
      </c>
      <c r="AE86" s="52" t="n">
        <f aca="false">AE$4*MAX(0,AE85)</f>
        <v>3825.35885581768</v>
      </c>
      <c r="AF86" s="52" t="n">
        <f aca="false">AF$4*MAX(0,AF85)</f>
        <v>3804.99456153859</v>
      </c>
      <c r="AG86" s="52" t="n">
        <f aca="false">AG$4*MAX(0,AG85)</f>
        <v>3784.7320887309</v>
      </c>
      <c r="AH86" s="52" t="n">
        <f aca="false">AH$4*MAX(0,AH85)</f>
        <v>3764.57092828724</v>
      </c>
    </row>
    <row r="87" customFormat="false" ht="15" hidden="false" customHeight="true" outlineLevel="0" collapsed="false">
      <c r="A87" s="33" t="s">
        <v>1411</v>
      </c>
      <c r="C87" s="55" t="n">
        <f aca="false">SUMPRODUCT(D87:AH87,D$5:AH$5)</f>
        <v>72102.621472672</v>
      </c>
      <c r="D87" s="55" t="n">
        <f aca="false">(D85-D81-D86)*D80</f>
        <v>-100000</v>
      </c>
      <c r="E87" s="55" t="n">
        <f aca="false">(E85-E81-E86)*E80</f>
        <v>26620</v>
      </c>
      <c r="F87" s="55" t="n">
        <f aca="false">(F85-F81-F86)*F80</f>
        <v>26479.4</v>
      </c>
      <c r="G87" s="55" t="n">
        <f aca="false">(G85-G81-G86)*G80</f>
        <v>26339.503</v>
      </c>
      <c r="H87" s="55" t="n">
        <f aca="false">(H85-H81-H86)*H80</f>
        <v>26200.305485</v>
      </c>
      <c r="I87" s="55" t="n">
        <f aca="false">(I85-I81-I86)*I80</f>
        <v>26061.803957575</v>
      </c>
      <c r="J87" s="55" t="n">
        <f aca="false">(J85-J81-J86)*J80</f>
        <v>25923.9949377871</v>
      </c>
      <c r="K87" s="55" t="n">
        <f aca="false">(K85-K81-K86)*K80</f>
        <v>25786.8749630982</v>
      </c>
      <c r="L87" s="55" t="n">
        <f aca="false">(L85-L81-L86)*L80</f>
        <v>25650.4405882827</v>
      </c>
      <c r="M87" s="55" t="n">
        <f aca="false">(M85-M81-M86)*M80</f>
        <v>25514.6883853413</v>
      </c>
      <c r="N87" s="55" t="n">
        <f aca="false">(N85-N81-N86)*N80</f>
        <v>25379.6149434146</v>
      </c>
      <c r="O87" s="55" t="n">
        <f aca="false">(O85-O81-O86)*O80</f>
        <v>21079.7560853624</v>
      </c>
      <c r="P87" s="55" t="n">
        <f aca="false">(P85-P81-P86)*P80</f>
        <v>8968.09480493561</v>
      </c>
      <c r="Q87" s="55" t="n">
        <f aca="false">(Q85-Q81-Q86)*Q80</f>
        <v>20856.9918309109</v>
      </c>
      <c r="R87" s="55" t="n">
        <f aca="false">(R85-R81-R86)*R80</f>
        <v>20746.4443717564</v>
      </c>
      <c r="S87" s="55" t="n">
        <f aca="false">(S85-S81-S86)*S80</f>
        <v>20636.4496498976</v>
      </c>
      <c r="T87" s="55" t="n">
        <f aca="false">(T85-T81-T86)*T80</f>
        <v>20527.0049016481</v>
      </c>
      <c r="U87" s="55" t="n">
        <f aca="false">(U85-U81-U86)*U80</f>
        <v>20418.1073771399</v>
      </c>
      <c r="V87" s="55" t="n">
        <f aca="false">(V85-V81-V86)*V80</f>
        <v>20309.7543402542</v>
      </c>
      <c r="W87" s="55" t="n">
        <f aca="false">(W85-W81-W86)*W80</f>
        <v>20201.9430685529</v>
      </c>
      <c r="X87" s="55" t="n">
        <f aca="false">(X85-X81-X86)*X80</f>
        <v>20094.6708532101</v>
      </c>
      <c r="Y87" s="55" t="n">
        <f aca="false">(Y85-Y81-Y86)*Y80</f>
        <v>0</v>
      </c>
      <c r="Z87" s="55" t="n">
        <f aca="false">(Z85-Z81-Z86)*Z80</f>
        <v>0</v>
      </c>
      <c r="AA87" s="55" t="n">
        <f aca="false">(AA85-AA81-AA86)*AA80</f>
        <v>0</v>
      </c>
      <c r="AB87" s="55" t="n">
        <f aca="false">(AB85-AB81-AB86)*AB80</f>
        <v>0</v>
      </c>
      <c r="AC87" s="55" t="n">
        <f aca="false">(AC85-AC81-AC86)*AC80</f>
        <v>0</v>
      </c>
      <c r="AD87" s="55" t="n">
        <f aca="false">(AD85-AD81-AD86)*AD80</f>
        <v>0</v>
      </c>
      <c r="AE87" s="55" t="n">
        <f aca="false">(AE85-AE81-AE86)*AE80</f>
        <v>0</v>
      </c>
      <c r="AF87" s="55" t="n">
        <f aca="false">(AF85-AF81-AF86)*AF80</f>
        <v>0</v>
      </c>
      <c r="AG87" s="55" t="n">
        <f aca="false">(AG85-AG81-AG86)*AG80</f>
        <v>0</v>
      </c>
      <c r="AH87" s="55" t="n">
        <f aca="false">(AH85-AH81-AH86)*AH80</f>
        <v>0</v>
      </c>
    </row>
    <row r="88" customFormat="false" ht="15" hidden="false" customHeight="true" outlineLevel="0" collapsed="false">
      <c r="A88" s="33" t="s">
        <v>1412</v>
      </c>
      <c r="C88" s="46" t="n">
        <f aca="false">SUMPRODUCT(D88:AH88,D$5:AH$5)</f>
        <v>0</v>
      </c>
      <c r="D88" s="52" t="n">
        <f aca="false">0</f>
        <v>0</v>
      </c>
      <c r="E88" s="52" t="n">
        <f aca="false">0</f>
        <v>0</v>
      </c>
      <c r="F88" s="52" t="n">
        <f aca="false">0</f>
        <v>0</v>
      </c>
      <c r="G88" s="52" t="n">
        <f aca="false">0</f>
        <v>0</v>
      </c>
      <c r="H88" s="52" t="n">
        <f aca="false">0</f>
        <v>0</v>
      </c>
      <c r="I88" s="52" t="n">
        <f aca="false">0</f>
        <v>0</v>
      </c>
      <c r="J88" s="52" t="n">
        <f aca="false">0</f>
        <v>0</v>
      </c>
      <c r="K88" s="52" t="n">
        <f aca="false">0</f>
        <v>0</v>
      </c>
      <c r="L88" s="52" t="n">
        <f aca="false">0</f>
        <v>0</v>
      </c>
      <c r="M88" s="52" t="n">
        <f aca="false">0</f>
        <v>0</v>
      </c>
      <c r="N88" s="52" t="n">
        <f aca="false">0</f>
        <v>0</v>
      </c>
      <c r="O88" s="52" t="n">
        <f aca="false">0</f>
        <v>0</v>
      </c>
      <c r="P88" s="52" t="n">
        <f aca="false">0</f>
        <v>0</v>
      </c>
      <c r="Q88" s="52" t="n">
        <f aca="false">0</f>
        <v>0</v>
      </c>
      <c r="R88" s="52" t="n">
        <f aca="false">0</f>
        <v>0</v>
      </c>
      <c r="S88" s="52" t="n">
        <f aca="false">0</f>
        <v>0</v>
      </c>
      <c r="T88" s="52" t="n">
        <f aca="false">0</f>
        <v>0</v>
      </c>
      <c r="U88" s="52" t="n">
        <f aca="false">0</f>
        <v>0</v>
      </c>
      <c r="V88" s="52" t="n">
        <f aca="false">0</f>
        <v>0</v>
      </c>
      <c r="W88" s="52" t="n">
        <f aca="false">0</f>
        <v>0</v>
      </c>
      <c r="X88" s="52" t="n">
        <f aca="false">0</f>
        <v>0</v>
      </c>
      <c r="Y88" s="52" t="n">
        <f aca="false">0</f>
        <v>0</v>
      </c>
      <c r="Z88" s="52" t="n">
        <f aca="false">0</f>
        <v>0</v>
      </c>
      <c r="AA88" s="52" t="n">
        <f aca="false">0</f>
        <v>0</v>
      </c>
      <c r="AB88" s="52" t="n">
        <f aca="false">0</f>
        <v>0</v>
      </c>
      <c r="AC88" s="52" t="n">
        <f aca="false">0</f>
        <v>0</v>
      </c>
      <c r="AD88" s="52" t="n">
        <f aca="false">0</f>
        <v>0</v>
      </c>
      <c r="AE88" s="52" t="n">
        <f aca="false">0</f>
        <v>0</v>
      </c>
      <c r="AF88" s="52" t="n">
        <f aca="false">0</f>
        <v>0</v>
      </c>
      <c r="AG88" s="52" t="n">
        <f aca="false">0</f>
        <v>0</v>
      </c>
      <c r="AH88" s="52" t="n">
        <f aca="false">0</f>
        <v>0</v>
      </c>
    </row>
    <row r="89" customFormat="false" ht="15" hidden="false" customHeight="true" outlineLevel="0" collapsed="false">
      <c r="A89" s="33" t="s">
        <v>1413</v>
      </c>
      <c r="C89" s="46" t="n">
        <f aca="false">SUMPRODUCT(D89:AH89,D$5:AH$5)</f>
        <v>0</v>
      </c>
      <c r="D89" s="52" t="n">
        <f aca="false">D82*D80</f>
        <v>0</v>
      </c>
      <c r="E89" s="52" t="n">
        <f aca="false">E82*E80</f>
        <v>0</v>
      </c>
      <c r="F89" s="52" t="n">
        <f aca="false">F82*F80</f>
        <v>0</v>
      </c>
      <c r="G89" s="52" t="n">
        <f aca="false">G82*G80</f>
        <v>0</v>
      </c>
      <c r="H89" s="52" t="n">
        <f aca="false">H82*H80</f>
        <v>0</v>
      </c>
      <c r="I89" s="52" t="n">
        <f aca="false">I82*I80</f>
        <v>0</v>
      </c>
      <c r="J89" s="52" t="n">
        <f aca="false">J82*J80</f>
        <v>0</v>
      </c>
      <c r="K89" s="52" t="n">
        <f aca="false">K82*K80</f>
        <v>0</v>
      </c>
      <c r="L89" s="52" t="n">
        <f aca="false">L82*L80</f>
        <v>0</v>
      </c>
      <c r="M89" s="52" t="n">
        <f aca="false">M82*M80</f>
        <v>0</v>
      </c>
      <c r="N89" s="52" t="n">
        <f aca="false">N82*N80</f>
        <v>0</v>
      </c>
      <c r="O89" s="52" t="n">
        <f aca="false">O82*O80</f>
        <v>0</v>
      </c>
      <c r="P89" s="52" t="n">
        <f aca="false">P82*P80</f>
        <v>0</v>
      </c>
      <c r="Q89" s="52" t="n">
        <f aca="false">Q82*Q80</f>
        <v>0</v>
      </c>
      <c r="R89" s="52" t="n">
        <f aca="false">R82*R80</f>
        <v>0</v>
      </c>
      <c r="S89" s="52" t="n">
        <f aca="false">S82*S80</f>
        <v>0</v>
      </c>
      <c r="T89" s="52" t="n">
        <f aca="false">T82*T80</f>
        <v>0</v>
      </c>
      <c r="U89" s="52" t="n">
        <f aca="false">U82*U80</f>
        <v>0</v>
      </c>
      <c r="V89" s="52" t="n">
        <f aca="false">V82*V80</f>
        <v>0</v>
      </c>
      <c r="W89" s="52" t="n">
        <f aca="false">W82*W80</f>
        <v>0</v>
      </c>
      <c r="X89" s="52" t="n">
        <f aca="false">X82*X80</f>
        <v>0</v>
      </c>
      <c r="Y89" s="52" t="n">
        <f aca="false">Y82*Y80</f>
        <v>0</v>
      </c>
      <c r="Z89" s="52" t="n">
        <f aca="false">Z82*Z80</f>
        <v>0</v>
      </c>
      <c r="AA89" s="52" t="n">
        <f aca="false">AA82*AA80</f>
        <v>0</v>
      </c>
      <c r="AB89" s="52" t="n">
        <f aca="false">AB82*AB80</f>
        <v>0</v>
      </c>
      <c r="AC89" s="52" t="n">
        <f aca="false">AC82*AC80</f>
        <v>0</v>
      </c>
      <c r="AD89" s="52" t="n">
        <f aca="false">AD82*AD80</f>
        <v>0</v>
      </c>
      <c r="AE89" s="52" t="n">
        <f aca="false">AE82*AE80</f>
        <v>0</v>
      </c>
      <c r="AF89" s="52" t="n">
        <f aca="false">AF82*AF80</f>
        <v>0</v>
      </c>
      <c r="AG89" s="52" t="n">
        <f aca="false">AG82*AG80</f>
        <v>0</v>
      </c>
      <c r="AH89" s="52" t="n">
        <f aca="false">AH82*AH80</f>
        <v>0</v>
      </c>
    </row>
    <row r="91" customFormat="false" ht="15" hidden="false" customHeight="true" outlineLevel="0" collapsed="false">
      <c r="A91" s="53" t="s">
        <v>1419</v>
      </c>
      <c r="B91" s="58" t="s">
        <v>1403</v>
      </c>
      <c r="C91" s="59" t="n">
        <f aca="false">in_G02a</f>
        <v>20</v>
      </c>
      <c r="D91" s="60"/>
      <c r="E91" s="60"/>
      <c r="F91" s="60"/>
      <c r="G91" s="60"/>
      <c r="H91" s="60"/>
      <c r="I91" s="60"/>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row>
    <row r="92" customFormat="false" ht="15" hidden="false" customHeight="true" outlineLevel="0" collapsed="false">
      <c r="A92" s="33" t="s">
        <v>1404</v>
      </c>
      <c r="D92" s="61" t="n">
        <f aca="false">IF(D$3&lt;=in_G02a,1,0)</f>
        <v>1</v>
      </c>
      <c r="E92" s="61" t="n">
        <f aca="false">IF(E$3&lt;=in_G02a,1,0)</f>
        <v>1</v>
      </c>
      <c r="F92" s="61" t="n">
        <f aca="false">IF(F$3&lt;=in_G02a,1,0)</f>
        <v>1</v>
      </c>
      <c r="G92" s="61" t="n">
        <f aca="false">IF(G$3&lt;=in_G02a,1,0)</f>
        <v>1</v>
      </c>
      <c r="H92" s="61" t="n">
        <f aca="false">IF(H$3&lt;=in_G02a,1,0)</f>
        <v>1</v>
      </c>
      <c r="I92" s="61" t="n">
        <f aca="false">IF(I$3&lt;=in_G02a,1,0)</f>
        <v>1</v>
      </c>
      <c r="J92" s="61" t="n">
        <f aca="false">IF(J$3&lt;=in_G02a,1,0)</f>
        <v>1</v>
      </c>
      <c r="K92" s="61" t="n">
        <f aca="false">IF(K$3&lt;=in_G02a,1,0)</f>
        <v>1</v>
      </c>
      <c r="L92" s="61" t="n">
        <f aca="false">IF(L$3&lt;=in_G02a,1,0)</f>
        <v>1</v>
      </c>
      <c r="M92" s="61" t="n">
        <f aca="false">IF(M$3&lt;=in_G02a,1,0)</f>
        <v>1</v>
      </c>
      <c r="N92" s="61" t="n">
        <f aca="false">IF(N$3&lt;=in_G02a,1,0)</f>
        <v>1</v>
      </c>
      <c r="O92" s="61" t="n">
        <f aca="false">IF(O$3&lt;=in_G02a,1,0)</f>
        <v>1</v>
      </c>
      <c r="P92" s="61" t="n">
        <f aca="false">IF(P$3&lt;=in_G02a,1,0)</f>
        <v>1</v>
      </c>
      <c r="Q92" s="61" t="n">
        <f aca="false">IF(Q$3&lt;=in_G02a,1,0)</f>
        <v>1</v>
      </c>
      <c r="R92" s="61" t="n">
        <f aca="false">IF(R$3&lt;=in_G02a,1,0)</f>
        <v>1</v>
      </c>
      <c r="S92" s="61" t="n">
        <f aca="false">IF(S$3&lt;=in_G02a,1,0)</f>
        <v>1</v>
      </c>
      <c r="T92" s="61" t="n">
        <f aca="false">IF(T$3&lt;=in_G02a,1,0)</f>
        <v>1</v>
      </c>
      <c r="U92" s="61" t="n">
        <f aca="false">IF(U$3&lt;=in_G02a,1,0)</f>
        <v>1</v>
      </c>
      <c r="V92" s="61" t="n">
        <f aca="false">IF(V$3&lt;=in_G02a,1,0)</f>
        <v>1</v>
      </c>
      <c r="W92" s="61" t="n">
        <f aca="false">IF(W$3&lt;=in_G02a,1,0)</f>
        <v>1</v>
      </c>
      <c r="X92" s="61" t="n">
        <f aca="false">IF(X$3&lt;=in_G02a,1,0)</f>
        <v>1</v>
      </c>
      <c r="Y92" s="61" t="n">
        <f aca="false">IF(Y$3&lt;=in_G02a,1,0)</f>
        <v>0</v>
      </c>
      <c r="Z92" s="61" t="n">
        <f aca="false">IF(Z$3&lt;=in_G02a,1,0)</f>
        <v>0</v>
      </c>
      <c r="AA92" s="61" t="n">
        <f aca="false">IF(AA$3&lt;=in_G02a,1,0)</f>
        <v>0</v>
      </c>
      <c r="AB92" s="61" t="n">
        <f aca="false">IF(AB$3&lt;=in_G02a,1,0)</f>
        <v>0</v>
      </c>
      <c r="AC92" s="61" t="n">
        <f aca="false">IF(AC$3&lt;=in_G02a,1,0)</f>
        <v>0</v>
      </c>
      <c r="AD92" s="61" t="n">
        <f aca="false">IF(AD$3&lt;=in_G02a,1,0)</f>
        <v>0</v>
      </c>
      <c r="AE92" s="61" t="n">
        <f aca="false">IF(AE$3&lt;=in_G02a,1,0)</f>
        <v>0</v>
      </c>
      <c r="AF92" s="61" t="n">
        <f aca="false">IF(AF$3&lt;=in_G02a,1,0)</f>
        <v>0</v>
      </c>
      <c r="AG92" s="61" t="n">
        <f aca="false">IF(AG$3&lt;=in_G02a,1,0)</f>
        <v>0</v>
      </c>
      <c r="AH92" s="61" t="n">
        <f aca="false">IF(AH$3&lt;=in_G02a,1,0)</f>
        <v>0</v>
      </c>
    </row>
    <row r="93" customFormat="false" ht="15" hidden="false" customHeight="true" outlineLevel="0" collapsed="false">
      <c r="A93" s="33" t="s">
        <v>1405</v>
      </c>
      <c r="C93" s="46" t="n">
        <f aca="false">SUMPRODUCT(D93:AH93,D$5:AH$5)</f>
        <v>95804.9068971846</v>
      </c>
      <c r="D93" s="52" t="n">
        <f aca="false">IF(D$3=0,c_bat_cap,0)+IF(D$3=in_E27,in_E15*c_bat_kwh*in_E05,0)</f>
        <v>82916.6666666667</v>
      </c>
      <c r="E93" s="52" t="n">
        <f aca="false">IF(E$3=0,c_bat_cap,0)+IF(E$3=in_E27,in_E15*c_bat_kwh*in_E05,0)</f>
        <v>0</v>
      </c>
      <c r="F93" s="52" t="n">
        <f aca="false">IF(F$3=0,c_bat_cap,0)+IF(F$3=in_E27,in_E15*c_bat_kwh*in_E05,0)</f>
        <v>0</v>
      </c>
      <c r="G93" s="52" t="n">
        <f aca="false">IF(G$3=0,c_bat_cap,0)+IF(G$3=in_E27,in_E15*c_bat_kwh*in_E05,0)</f>
        <v>0</v>
      </c>
      <c r="H93" s="52" t="n">
        <f aca="false">IF(H$3=0,c_bat_cap,0)+IF(H$3=in_E27,in_E15*c_bat_kwh*in_E05,0)</f>
        <v>0</v>
      </c>
      <c r="I93" s="52" t="n">
        <f aca="false">IF(I$3=0,c_bat_cap,0)+IF(I$3=in_E27,in_E15*c_bat_kwh*in_E05,0)</f>
        <v>0</v>
      </c>
      <c r="J93" s="52" t="n">
        <f aca="false">IF(J$3=0,c_bat_cap,0)+IF(J$3=in_E27,in_E15*c_bat_kwh*in_E05,0)</f>
        <v>0</v>
      </c>
      <c r="K93" s="52" t="n">
        <f aca="false">IF(K$3=0,c_bat_cap,0)+IF(K$3=in_E27,in_E15*c_bat_kwh*in_E05,0)</f>
        <v>0</v>
      </c>
      <c r="L93" s="52" t="n">
        <f aca="false">IF(L$3=0,c_bat_cap,0)+IF(L$3=in_E27,in_E15*c_bat_kwh*in_E05,0)</f>
        <v>0</v>
      </c>
      <c r="M93" s="52" t="n">
        <f aca="false">IF(M$3=0,c_bat_cap,0)+IF(M$3=in_E27,in_E15*c_bat_kwh*in_E05,0)</f>
        <v>0</v>
      </c>
      <c r="N93" s="52" t="n">
        <f aca="false">IF(N$3=0,c_bat_cap,0)+IF(N$3=in_E27,in_E15*c_bat_kwh*in_E05,0)</f>
        <v>43750</v>
      </c>
      <c r="O93" s="52" t="n">
        <f aca="false">IF(O$3=0,c_bat_cap,0)+IF(O$3=in_E27,in_E15*c_bat_kwh*in_E05,0)</f>
        <v>0</v>
      </c>
      <c r="P93" s="52" t="n">
        <f aca="false">IF(P$3=0,c_bat_cap,0)+IF(P$3=in_E27,in_E15*c_bat_kwh*in_E05,0)</f>
        <v>0</v>
      </c>
      <c r="Q93" s="52" t="n">
        <f aca="false">IF(Q$3=0,c_bat_cap,0)+IF(Q$3=in_E27,in_E15*c_bat_kwh*in_E05,0)</f>
        <v>0</v>
      </c>
      <c r="R93" s="52" t="n">
        <f aca="false">IF(R$3=0,c_bat_cap,0)+IF(R$3=in_E27,in_E15*c_bat_kwh*in_E05,0)</f>
        <v>0</v>
      </c>
      <c r="S93" s="52" t="n">
        <f aca="false">IF(S$3=0,c_bat_cap,0)+IF(S$3=in_E27,in_E15*c_bat_kwh*in_E05,0)</f>
        <v>0</v>
      </c>
      <c r="T93" s="52" t="n">
        <f aca="false">IF(T$3=0,c_bat_cap,0)+IF(T$3=in_E27,in_E15*c_bat_kwh*in_E05,0)</f>
        <v>0</v>
      </c>
      <c r="U93" s="52" t="n">
        <f aca="false">IF(U$3=0,c_bat_cap,0)+IF(U$3=in_E27,in_E15*c_bat_kwh*in_E05,0)</f>
        <v>0</v>
      </c>
      <c r="V93" s="52" t="n">
        <f aca="false">IF(V$3=0,c_bat_cap,0)+IF(V$3=in_E27,in_E15*c_bat_kwh*in_E05,0)</f>
        <v>0</v>
      </c>
      <c r="W93" s="52" t="n">
        <f aca="false">IF(W$3=0,c_bat_cap,0)+IF(W$3=in_E27,in_E15*c_bat_kwh*in_E05,0)</f>
        <v>0</v>
      </c>
      <c r="X93" s="52" t="n">
        <f aca="false">IF(X$3=0,c_bat_cap,0)+IF(X$3=in_E27,in_E15*c_bat_kwh*in_E05,0)</f>
        <v>0</v>
      </c>
      <c r="Y93" s="52" t="n">
        <f aca="false">IF(Y$3=0,c_bat_cap,0)+IF(Y$3=in_E27,in_E15*c_bat_kwh*in_E05,0)</f>
        <v>0</v>
      </c>
      <c r="Z93" s="52" t="n">
        <f aca="false">IF(Z$3=0,c_bat_cap,0)+IF(Z$3=in_E27,in_E15*c_bat_kwh*in_E05,0)</f>
        <v>0</v>
      </c>
      <c r="AA93" s="52" t="n">
        <f aca="false">IF(AA$3=0,c_bat_cap,0)+IF(AA$3=in_E27,in_E15*c_bat_kwh*in_E05,0)</f>
        <v>0</v>
      </c>
      <c r="AB93" s="52" t="n">
        <f aca="false">IF(AB$3=0,c_bat_cap,0)+IF(AB$3=in_E27,in_E15*c_bat_kwh*in_E05,0)</f>
        <v>0</v>
      </c>
      <c r="AC93" s="52" t="n">
        <f aca="false">IF(AC$3=0,c_bat_cap,0)+IF(AC$3=in_E27,in_E15*c_bat_kwh*in_E05,0)</f>
        <v>0</v>
      </c>
      <c r="AD93" s="52" t="n">
        <f aca="false">IF(AD$3=0,c_bat_cap,0)+IF(AD$3=in_E27,in_E15*c_bat_kwh*in_E05,0)</f>
        <v>0</v>
      </c>
      <c r="AE93" s="52" t="n">
        <f aca="false">IF(AE$3=0,c_bat_cap,0)+IF(AE$3=in_E27,in_E15*c_bat_kwh*in_E05,0)</f>
        <v>0</v>
      </c>
      <c r="AF93" s="52" t="n">
        <f aca="false">IF(AF$3=0,c_bat_cap,0)+IF(AF$3=in_E27,in_E15*c_bat_kwh*in_E05,0)</f>
        <v>0</v>
      </c>
      <c r="AG93" s="52" t="n">
        <f aca="false">IF(AG$3=0,c_bat_cap,0)+IF(AG$3=in_E27,in_E15*c_bat_kwh*in_E05,0)</f>
        <v>0</v>
      </c>
      <c r="AH93" s="52" t="n">
        <f aca="false">IF(AH$3=0,c_bat_cap,0)+IF(AH$3=in_E27,in_E15*c_bat_kwh*in_E05,0)</f>
        <v>0</v>
      </c>
    </row>
    <row r="94" customFormat="false" ht="15" hidden="false" customHeight="true" outlineLevel="0" collapsed="false">
      <c r="A94" s="33" t="s">
        <v>1406</v>
      </c>
      <c r="D94" s="52" t="n">
        <f aca="false">0</f>
        <v>0</v>
      </c>
      <c r="E94" s="52" t="n">
        <f aca="false">0</f>
        <v>0</v>
      </c>
      <c r="F94" s="52" t="n">
        <f aca="false">0</f>
        <v>0</v>
      </c>
      <c r="G94" s="52" t="n">
        <f aca="false">0</f>
        <v>0</v>
      </c>
      <c r="H94" s="52" t="n">
        <f aca="false">0</f>
        <v>0</v>
      </c>
      <c r="I94" s="52" t="n">
        <f aca="false">0</f>
        <v>0</v>
      </c>
      <c r="J94" s="52" t="n">
        <f aca="false">0</f>
        <v>0</v>
      </c>
      <c r="K94" s="52" t="n">
        <f aca="false">0</f>
        <v>0</v>
      </c>
      <c r="L94" s="52" t="n">
        <f aca="false">0</f>
        <v>0</v>
      </c>
      <c r="M94" s="52" t="n">
        <f aca="false">0</f>
        <v>0</v>
      </c>
      <c r="N94" s="52" t="n">
        <f aca="false">0</f>
        <v>0</v>
      </c>
      <c r="O94" s="52" t="n">
        <f aca="false">0</f>
        <v>0</v>
      </c>
      <c r="P94" s="52" t="n">
        <f aca="false">0</f>
        <v>0</v>
      </c>
      <c r="Q94" s="52" t="n">
        <f aca="false">0</f>
        <v>0</v>
      </c>
      <c r="R94" s="52" t="n">
        <f aca="false">0</f>
        <v>0</v>
      </c>
      <c r="S94" s="52" t="n">
        <f aca="false">0</f>
        <v>0</v>
      </c>
      <c r="T94" s="52" t="n">
        <f aca="false">0</f>
        <v>0</v>
      </c>
      <c r="U94" s="52" t="n">
        <f aca="false">0</f>
        <v>0</v>
      </c>
      <c r="V94" s="52" t="n">
        <f aca="false">0</f>
        <v>0</v>
      </c>
      <c r="W94" s="52" t="n">
        <f aca="false">0</f>
        <v>0</v>
      </c>
      <c r="X94" s="52" t="n">
        <f aca="false">0</f>
        <v>0</v>
      </c>
      <c r="Y94" s="52" t="n">
        <f aca="false">0</f>
        <v>0</v>
      </c>
      <c r="Z94" s="52" t="n">
        <f aca="false">0</f>
        <v>0</v>
      </c>
      <c r="AA94" s="52" t="n">
        <f aca="false">0</f>
        <v>0</v>
      </c>
      <c r="AB94" s="52" t="n">
        <f aca="false">0</f>
        <v>0</v>
      </c>
      <c r="AC94" s="52" t="n">
        <f aca="false">0</f>
        <v>0</v>
      </c>
      <c r="AD94" s="52" t="n">
        <f aca="false">0</f>
        <v>0</v>
      </c>
      <c r="AE94" s="52" t="n">
        <f aca="false">0</f>
        <v>0</v>
      </c>
      <c r="AF94" s="52" t="n">
        <f aca="false">0</f>
        <v>0</v>
      </c>
      <c r="AG94" s="52" t="n">
        <f aca="false">0</f>
        <v>0</v>
      </c>
      <c r="AH94" s="52" t="n">
        <f aca="false">0</f>
        <v>0</v>
      </c>
    </row>
    <row r="95" customFormat="false" ht="15" hidden="false" customHeight="true" outlineLevel="0" collapsed="false">
      <c r="A95" s="33" t="s">
        <v>1407</v>
      </c>
      <c r="D95" s="52" t="n">
        <f aca="false">IF(D$3=0,0,c_bat_avoid)</f>
        <v>0</v>
      </c>
      <c r="E95" s="52" t="n">
        <f aca="false">IF(E$3=0,0,c_bat_avoid)</f>
        <v>18319.2331167971</v>
      </c>
      <c r="F95" s="52" t="n">
        <f aca="false">IF(F$3=0,0,c_bat_avoid)</f>
        <v>18319.2331167971</v>
      </c>
      <c r="G95" s="52" t="n">
        <f aca="false">IF(G$3=0,0,c_bat_avoid)</f>
        <v>18319.2331167971</v>
      </c>
      <c r="H95" s="52" t="n">
        <f aca="false">IF(H$3=0,0,c_bat_avoid)</f>
        <v>18319.2331167971</v>
      </c>
      <c r="I95" s="52" t="n">
        <f aca="false">IF(I$3=0,0,c_bat_avoid)</f>
        <v>18319.2331167971</v>
      </c>
      <c r="J95" s="52" t="n">
        <f aca="false">IF(J$3=0,0,c_bat_avoid)</f>
        <v>18319.2331167971</v>
      </c>
      <c r="K95" s="52" t="n">
        <f aca="false">IF(K$3=0,0,c_bat_avoid)</f>
        <v>18319.2331167971</v>
      </c>
      <c r="L95" s="52" t="n">
        <f aca="false">IF(L$3=0,0,c_bat_avoid)</f>
        <v>18319.2331167971</v>
      </c>
      <c r="M95" s="52" t="n">
        <f aca="false">IF(M$3=0,0,c_bat_avoid)</f>
        <v>18319.2331167971</v>
      </c>
      <c r="N95" s="52" t="n">
        <f aca="false">IF(N$3=0,0,c_bat_avoid)</f>
        <v>18319.2331167971</v>
      </c>
      <c r="O95" s="52" t="n">
        <f aca="false">IF(O$3=0,0,c_bat_avoid)</f>
        <v>18319.2331167971</v>
      </c>
      <c r="P95" s="52" t="n">
        <f aca="false">IF(P$3=0,0,c_bat_avoid)</f>
        <v>18319.2331167971</v>
      </c>
      <c r="Q95" s="52" t="n">
        <f aca="false">IF(Q$3=0,0,c_bat_avoid)</f>
        <v>18319.2331167971</v>
      </c>
      <c r="R95" s="52" t="n">
        <f aca="false">IF(R$3=0,0,c_bat_avoid)</f>
        <v>18319.2331167971</v>
      </c>
      <c r="S95" s="52" t="n">
        <f aca="false">IF(S$3=0,0,c_bat_avoid)</f>
        <v>18319.2331167971</v>
      </c>
      <c r="T95" s="52" t="n">
        <f aca="false">IF(T$3=0,0,c_bat_avoid)</f>
        <v>18319.2331167971</v>
      </c>
      <c r="U95" s="52" t="n">
        <f aca="false">IF(U$3=0,0,c_bat_avoid)</f>
        <v>18319.2331167971</v>
      </c>
      <c r="V95" s="52" t="n">
        <f aca="false">IF(V$3=0,0,c_bat_avoid)</f>
        <v>18319.2331167971</v>
      </c>
      <c r="W95" s="52" t="n">
        <f aca="false">IF(W$3=0,0,c_bat_avoid)</f>
        <v>18319.2331167971</v>
      </c>
      <c r="X95" s="52" t="n">
        <f aca="false">IF(X$3=0,0,c_bat_avoid)</f>
        <v>18319.2331167971</v>
      </c>
      <c r="Y95" s="52" t="n">
        <f aca="false">IF(Y$3=0,0,c_bat_avoid)</f>
        <v>18319.2331167971</v>
      </c>
      <c r="Z95" s="52" t="n">
        <f aca="false">IF(Z$3=0,0,c_bat_avoid)</f>
        <v>18319.2331167971</v>
      </c>
      <c r="AA95" s="52" t="n">
        <f aca="false">IF(AA$3=0,0,c_bat_avoid)</f>
        <v>18319.2331167971</v>
      </c>
      <c r="AB95" s="52" t="n">
        <f aca="false">IF(AB$3=0,0,c_bat_avoid)</f>
        <v>18319.2331167971</v>
      </c>
      <c r="AC95" s="52" t="n">
        <f aca="false">IF(AC$3=0,0,c_bat_avoid)</f>
        <v>18319.2331167971</v>
      </c>
      <c r="AD95" s="52" t="n">
        <f aca="false">IF(AD$3=0,0,c_bat_avoid)</f>
        <v>18319.2331167971</v>
      </c>
      <c r="AE95" s="52" t="n">
        <f aca="false">IF(AE$3=0,0,c_bat_avoid)</f>
        <v>18319.2331167971</v>
      </c>
      <c r="AF95" s="52" t="n">
        <f aca="false">IF(AF$3=0,0,c_bat_avoid)</f>
        <v>18319.2331167971</v>
      </c>
      <c r="AG95" s="52" t="n">
        <f aca="false">IF(AG$3=0,0,c_bat_avoid)</f>
        <v>18319.2331167971</v>
      </c>
      <c r="AH95" s="52" t="n">
        <f aca="false">IF(AH$3=0,0,c_bat_avoid)</f>
        <v>18319.2331167971</v>
      </c>
    </row>
    <row r="96" customFormat="false" ht="15" hidden="false" customHeight="true" outlineLevel="0" collapsed="false">
      <c r="A96" s="33" t="s">
        <v>1408</v>
      </c>
      <c r="D96" s="52" t="n">
        <f aca="false">IF(D$3=0,0,in_E24*c_bat_cap)</f>
        <v>0</v>
      </c>
      <c r="E96" s="52" t="n">
        <f aca="false">IF(E$3=0,0,in_E24*c_bat_cap)</f>
        <v>829.166666666667</v>
      </c>
      <c r="F96" s="52" t="n">
        <f aca="false">IF(F$3=0,0,in_E24*c_bat_cap)</f>
        <v>829.166666666667</v>
      </c>
      <c r="G96" s="52" t="n">
        <f aca="false">IF(G$3=0,0,in_E24*c_bat_cap)</f>
        <v>829.166666666667</v>
      </c>
      <c r="H96" s="52" t="n">
        <f aca="false">IF(H$3=0,0,in_E24*c_bat_cap)</f>
        <v>829.166666666667</v>
      </c>
      <c r="I96" s="52" t="n">
        <f aca="false">IF(I$3=0,0,in_E24*c_bat_cap)</f>
        <v>829.166666666667</v>
      </c>
      <c r="J96" s="52" t="n">
        <f aca="false">IF(J$3=0,0,in_E24*c_bat_cap)</f>
        <v>829.166666666667</v>
      </c>
      <c r="K96" s="52" t="n">
        <f aca="false">IF(K$3=0,0,in_E24*c_bat_cap)</f>
        <v>829.166666666667</v>
      </c>
      <c r="L96" s="52" t="n">
        <f aca="false">IF(L$3=0,0,in_E24*c_bat_cap)</f>
        <v>829.166666666667</v>
      </c>
      <c r="M96" s="52" t="n">
        <f aca="false">IF(M$3=0,0,in_E24*c_bat_cap)</f>
        <v>829.166666666667</v>
      </c>
      <c r="N96" s="52" t="n">
        <f aca="false">IF(N$3=0,0,in_E24*c_bat_cap)</f>
        <v>829.166666666667</v>
      </c>
      <c r="O96" s="52" t="n">
        <f aca="false">IF(O$3=0,0,in_E24*c_bat_cap)</f>
        <v>829.166666666667</v>
      </c>
      <c r="P96" s="52" t="n">
        <f aca="false">IF(P$3=0,0,in_E24*c_bat_cap)</f>
        <v>829.166666666667</v>
      </c>
      <c r="Q96" s="52" t="n">
        <f aca="false">IF(Q$3=0,0,in_E24*c_bat_cap)</f>
        <v>829.166666666667</v>
      </c>
      <c r="R96" s="52" t="n">
        <f aca="false">IF(R$3=0,0,in_E24*c_bat_cap)</f>
        <v>829.166666666667</v>
      </c>
      <c r="S96" s="52" t="n">
        <f aca="false">IF(S$3=0,0,in_E24*c_bat_cap)</f>
        <v>829.166666666667</v>
      </c>
      <c r="T96" s="52" t="n">
        <f aca="false">IF(T$3=0,0,in_E24*c_bat_cap)</f>
        <v>829.166666666667</v>
      </c>
      <c r="U96" s="52" t="n">
        <f aca="false">IF(U$3=0,0,in_E24*c_bat_cap)</f>
        <v>829.166666666667</v>
      </c>
      <c r="V96" s="52" t="n">
        <f aca="false">IF(V$3=0,0,in_E24*c_bat_cap)</f>
        <v>829.166666666667</v>
      </c>
      <c r="W96" s="52" t="n">
        <f aca="false">IF(W$3=0,0,in_E24*c_bat_cap)</f>
        <v>829.166666666667</v>
      </c>
      <c r="X96" s="52" t="n">
        <f aca="false">IF(X$3=0,0,in_E24*c_bat_cap)</f>
        <v>829.166666666667</v>
      </c>
      <c r="Y96" s="52" t="n">
        <f aca="false">IF(Y$3=0,0,in_E24*c_bat_cap)</f>
        <v>829.166666666667</v>
      </c>
      <c r="Z96" s="52" t="n">
        <f aca="false">IF(Z$3=0,0,in_E24*c_bat_cap)</f>
        <v>829.166666666667</v>
      </c>
      <c r="AA96" s="52" t="n">
        <f aca="false">IF(AA$3=0,0,in_E24*c_bat_cap)</f>
        <v>829.166666666667</v>
      </c>
      <c r="AB96" s="52" t="n">
        <f aca="false">IF(AB$3=0,0,in_E24*c_bat_cap)</f>
        <v>829.166666666667</v>
      </c>
      <c r="AC96" s="52" t="n">
        <f aca="false">IF(AC$3=0,0,in_E24*c_bat_cap)</f>
        <v>829.166666666667</v>
      </c>
      <c r="AD96" s="52" t="n">
        <f aca="false">IF(AD$3=0,0,in_E24*c_bat_cap)</f>
        <v>829.166666666667</v>
      </c>
      <c r="AE96" s="52" t="n">
        <f aca="false">IF(AE$3=0,0,in_E24*c_bat_cap)</f>
        <v>829.166666666667</v>
      </c>
      <c r="AF96" s="52" t="n">
        <f aca="false">IF(AF$3=0,0,in_E24*c_bat_cap)</f>
        <v>829.166666666667</v>
      </c>
      <c r="AG96" s="52" t="n">
        <f aca="false">IF(AG$3=0,0,in_E24*c_bat_cap)</f>
        <v>829.166666666667</v>
      </c>
      <c r="AH96" s="52" t="n">
        <f aca="false">IF(AH$3=0,0,in_E24*c_bat_cap)</f>
        <v>829.166666666667</v>
      </c>
    </row>
    <row r="97" customFormat="false" ht="15" hidden="false" customHeight="true" outlineLevel="0" collapsed="false">
      <c r="A97" s="33" t="s">
        <v>1409</v>
      </c>
      <c r="D97" s="52" t="n">
        <f aca="false">D94+D95-D96</f>
        <v>0</v>
      </c>
      <c r="E97" s="52" t="n">
        <f aca="false">E94+E95-E96</f>
        <v>17490.0664501304</v>
      </c>
      <c r="F97" s="52" t="n">
        <f aca="false">F94+F95-F96</f>
        <v>17490.0664501304</v>
      </c>
      <c r="G97" s="52" t="n">
        <f aca="false">G94+G95-G96</f>
        <v>17490.0664501304</v>
      </c>
      <c r="H97" s="52" t="n">
        <f aca="false">H94+H95-H96</f>
        <v>17490.0664501304</v>
      </c>
      <c r="I97" s="52" t="n">
        <f aca="false">I94+I95-I96</f>
        <v>17490.0664501304</v>
      </c>
      <c r="J97" s="52" t="n">
        <f aca="false">J94+J95-J96</f>
        <v>17490.0664501304</v>
      </c>
      <c r="K97" s="52" t="n">
        <f aca="false">K94+K95-K96</f>
        <v>17490.0664501304</v>
      </c>
      <c r="L97" s="52" t="n">
        <f aca="false">L94+L95-L96</f>
        <v>17490.0664501304</v>
      </c>
      <c r="M97" s="52" t="n">
        <f aca="false">M94+M95-M96</f>
        <v>17490.0664501304</v>
      </c>
      <c r="N97" s="52" t="n">
        <f aca="false">N94+N95-N96</f>
        <v>17490.0664501304</v>
      </c>
      <c r="O97" s="52" t="n">
        <f aca="false">O94+O95-O96</f>
        <v>17490.0664501304</v>
      </c>
      <c r="P97" s="52" t="n">
        <f aca="false">P94+P95-P96</f>
        <v>17490.0664501304</v>
      </c>
      <c r="Q97" s="52" t="n">
        <f aca="false">Q94+Q95-Q96</f>
        <v>17490.0664501304</v>
      </c>
      <c r="R97" s="52" t="n">
        <f aca="false">R94+R95-R96</f>
        <v>17490.0664501304</v>
      </c>
      <c r="S97" s="52" t="n">
        <f aca="false">S94+S95-S96</f>
        <v>17490.0664501304</v>
      </c>
      <c r="T97" s="52" t="n">
        <f aca="false">T94+T95-T96</f>
        <v>17490.0664501304</v>
      </c>
      <c r="U97" s="52" t="n">
        <f aca="false">U94+U95-U96</f>
        <v>17490.0664501304</v>
      </c>
      <c r="V97" s="52" t="n">
        <f aca="false">V94+V95-V96</f>
        <v>17490.0664501304</v>
      </c>
      <c r="W97" s="52" t="n">
        <f aca="false">W94+W95-W96</f>
        <v>17490.0664501304</v>
      </c>
      <c r="X97" s="52" t="n">
        <f aca="false">X94+X95-X96</f>
        <v>17490.0664501304</v>
      </c>
      <c r="Y97" s="52" t="n">
        <f aca="false">Y94+Y95-Y96</f>
        <v>17490.0664501304</v>
      </c>
      <c r="Z97" s="52" t="n">
        <f aca="false">Z94+Z95-Z96</f>
        <v>17490.0664501304</v>
      </c>
      <c r="AA97" s="52" t="n">
        <f aca="false">AA94+AA95-AA96</f>
        <v>17490.0664501304</v>
      </c>
      <c r="AB97" s="52" t="n">
        <f aca="false">AB94+AB95-AB96</f>
        <v>17490.0664501304</v>
      </c>
      <c r="AC97" s="52" t="n">
        <f aca="false">AC94+AC95-AC96</f>
        <v>17490.0664501304</v>
      </c>
      <c r="AD97" s="52" t="n">
        <f aca="false">AD94+AD95-AD96</f>
        <v>17490.0664501304</v>
      </c>
      <c r="AE97" s="52" t="n">
        <f aca="false">AE94+AE95-AE96</f>
        <v>17490.0664501304</v>
      </c>
      <c r="AF97" s="52" t="n">
        <f aca="false">AF94+AF95-AF96</f>
        <v>17490.0664501304</v>
      </c>
      <c r="AG97" s="52" t="n">
        <f aca="false">AG94+AG95-AG96</f>
        <v>17490.0664501304</v>
      </c>
      <c r="AH97" s="52" t="n">
        <f aca="false">AH94+AH95-AH96</f>
        <v>17490.0664501304</v>
      </c>
    </row>
    <row r="98" customFormat="false" ht="15" hidden="false" customHeight="true" outlineLevel="0" collapsed="false">
      <c r="A98" s="33" t="s">
        <v>1410</v>
      </c>
      <c r="D98" s="52" t="n">
        <f aca="false">D$4*MAX(0,D97)</f>
        <v>0</v>
      </c>
      <c r="E98" s="52" t="n">
        <f aca="false">E$4*MAX(0,E97)</f>
        <v>0</v>
      </c>
      <c r="F98" s="52" t="n">
        <f aca="false">F$4*MAX(0,F97)</f>
        <v>0</v>
      </c>
      <c r="G98" s="52" t="n">
        <f aca="false">G$4*MAX(0,G97)</f>
        <v>0</v>
      </c>
      <c r="H98" s="52" t="n">
        <f aca="false">H$4*MAX(0,H97)</f>
        <v>0</v>
      </c>
      <c r="I98" s="52" t="n">
        <f aca="false">I$4*MAX(0,I97)</f>
        <v>0</v>
      </c>
      <c r="J98" s="52" t="n">
        <f aca="false">J$4*MAX(0,J97)</f>
        <v>0</v>
      </c>
      <c r="K98" s="52" t="n">
        <f aca="false">K$4*MAX(0,K97)</f>
        <v>0</v>
      </c>
      <c r="L98" s="52" t="n">
        <f aca="false">L$4*MAX(0,L97)</f>
        <v>0</v>
      </c>
      <c r="M98" s="52" t="n">
        <f aca="false">M$4*MAX(0,M97)</f>
        <v>0</v>
      </c>
      <c r="N98" s="52" t="n">
        <f aca="false">N$4*MAX(0,N97)</f>
        <v>0</v>
      </c>
      <c r="O98" s="52" t="n">
        <f aca="false">O$4*MAX(0,O97)</f>
        <v>2885.86096427152</v>
      </c>
      <c r="P98" s="52" t="n">
        <f aca="false">P$4*MAX(0,P97)</f>
        <v>2885.86096427152</v>
      </c>
      <c r="Q98" s="52" t="n">
        <f aca="false">Q$4*MAX(0,Q97)</f>
        <v>2885.86096427152</v>
      </c>
      <c r="R98" s="52" t="n">
        <f aca="false">R$4*MAX(0,R97)</f>
        <v>2885.86096427152</v>
      </c>
      <c r="S98" s="52" t="n">
        <f aca="false">S$4*MAX(0,S97)</f>
        <v>2885.86096427152</v>
      </c>
      <c r="T98" s="52" t="n">
        <f aca="false">T$4*MAX(0,T97)</f>
        <v>2885.86096427152</v>
      </c>
      <c r="U98" s="52" t="n">
        <f aca="false">U$4*MAX(0,U97)</f>
        <v>2885.86096427152</v>
      </c>
      <c r="V98" s="52" t="n">
        <f aca="false">V$4*MAX(0,V97)</f>
        <v>2885.86096427152</v>
      </c>
      <c r="W98" s="52" t="n">
        <f aca="false">W$4*MAX(0,W97)</f>
        <v>2885.86096427152</v>
      </c>
      <c r="X98" s="52" t="n">
        <f aca="false">X$4*MAX(0,X97)</f>
        <v>2885.86096427152</v>
      </c>
      <c r="Y98" s="52" t="n">
        <f aca="false">Y$4*MAX(0,Y97)</f>
        <v>2885.86096427152</v>
      </c>
      <c r="Z98" s="52" t="n">
        <f aca="false">Z$4*MAX(0,Z97)</f>
        <v>2885.86096427152</v>
      </c>
      <c r="AA98" s="52" t="n">
        <f aca="false">AA$4*MAX(0,AA97)</f>
        <v>2885.86096427152</v>
      </c>
      <c r="AB98" s="52" t="n">
        <f aca="false">AB$4*MAX(0,AB97)</f>
        <v>2885.86096427152</v>
      </c>
      <c r="AC98" s="52" t="n">
        <f aca="false">AC$4*MAX(0,AC97)</f>
        <v>2885.86096427152</v>
      </c>
      <c r="AD98" s="52" t="n">
        <f aca="false">AD$4*MAX(0,AD97)</f>
        <v>2885.86096427152</v>
      </c>
      <c r="AE98" s="52" t="n">
        <f aca="false">AE$4*MAX(0,AE97)</f>
        <v>2885.86096427152</v>
      </c>
      <c r="AF98" s="52" t="n">
        <f aca="false">AF$4*MAX(0,AF97)</f>
        <v>2885.86096427152</v>
      </c>
      <c r="AG98" s="52" t="n">
        <f aca="false">AG$4*MAX(0,AG97)</f>
        <v>2885.86096427152</v>
      </c>
      <c r="AH98" s="52" t="n">
        <f aca="false">AH$4*MAX(0,AH97)</f>
        <v>2885.86096427152</v>
      </c>
    </row>
    <row r="99" customFormat="false" ht="15" hidden="false" customHeight="true" outlineLevel="0" collapsed="false">
      <c r="A99" s="33" t="s">
        <v>1411</v>
      </c>
      <c r="C99" s="55" t="n">
        <f aca="false">SUMPRODUCT(D99:AH99,D$5:AH$5)</f>
        <v>22445.3928658592</v>
      </c>
      <c r="D99" s="55" t="n">
        <f aca="false">(D97-D93-D98)*D92</f>
        <v>-82916.6666666667</v>
      </c>
      <c r="E99" s="55" t="n">
        <f aca="false">(E97-E93-E98)*E92</f>
        <v>17490.0664501304</v>
      </c>
      <c r="F99" s="55" t="n">
        <f aca="false">(F97-F93-F98)*F92</f>
        <v>17490.0664501304</v>
      </c>
      <c r="G99" s="55" t="n">
        <f aca="false">(G97-G93-G98)*G92</f>
        <v>17490.0664501304</v>
      </c>
      <c r="H99" s="55" t="n">
        <f aca="false">(H97-H93-H98)*H92</f>
        <v>17490.0664501304</v>
      </c>
      <c r="I99" s="55" t="n">
        <f aca="false">(I97-I93-I98)*I92</f>
        <v>17490.0664501304</v>
      </c>
      <c r="J99" s="55" t="n">
        <f aca="false">(J97-J93-J98)*J92</f>
        <v>17490.0664501304</v>
      </c>
      <c r="K99" s="55" t="n">
        <f aca="false">(K97-K93-K98)*K92</f>
        <v>17490.0664501304</v>
      </c>
      <c r="L99" s="55" t="n">
        <f aca="false">(L97-L93-L98)*L92</f>
        <v>17490.0664501304</v>
      </c>
      <c r="M99" s="55" t="n">
        <f aca="false">(M97-M93-M98)*M92</f>
        <v>17490.0664501304</v>
      </c>
      <c r="N99" s="55" t="n">
        <f aca="false">(N97-N93-N98)*N92</f>
        <v>-26259.9335498696</v>
      </c>
      <c r="O99" s="55" t="n">
        <f aca="false">(O97-O93-O98)*O92</f>
        <v>14604.2054858589</v>
      </c>
      <c r="P99" s="55" t="n">
        <f aca="false">(P97-P93-P98)*P92</f>
        <v>14604.2054858589</v>
      </c>
      <c r="Q99" s="55" t="n">
        <f aca="false">(Q97-Q93-Q98)*Q92</f>
        <v>14604.2054858589</v>
      </c>
      <c r="R99" s="55" t="n">
        <f aca="false">(R97-R93-R98)*R92</f>
        <v>14604.2054858589</v>
      </c>
      <c r="S99" s="55" t="n">
        <f aca="false">(S97-S93-S98)*S92</f>
        <v>14604.2054858589</v>
      </c>
      <c r="T99" s="55" t="n">
        <f aca="false">(T97-T93-T98)*T92</f>
        <v>14604.2054858589</v>
      </c>
      <c r="U99" s="55" t="n">
        <f aca="false">(U97-U93-U98)*U92</f>
        <v>14604.2054858589</v>
      </c>
      <c r="V99" s="55" t="n">
        <f aca="false">(V97-V93-V98)*V92</f>
        <v>14604.2054858589</v>
      </c>
      <c r="W99" s="55" t="n">
        <f aca="false">(W97-W93-W98)*W92</f>
        <v>14604.2054858589</v>
      </c>
      <c r="X99" s="55" t="n">
        <f aca="false">(X97-X93-X98)*X92</f>
        <v>14604.2054858589</v>
      </c>
      <c r="Y99" s="55" t="n">
        <f aca="false">(Y97-Y93-Y98)*Y92</f>
        <v>0</v>
      </c>
      <c r="Z99" s="55" t="n">
        <f aca="false">(Z97-Z93-Z98)*Z92</f>
        <v>0</v>
      </c>
      <c r="AA99" s="55" t="n">
        <f aca="false">(AA97-AA93-AA98)*AA92</f>
        <v>0</v>
      </c>
      <c r="AB99" s="55" t="n">
        <f aca="false">(AB97-AB93-AB98)*AB92</f>
        <v>0</v>
      </c>
      <c r="AC99" s="55" t="n">
        <f aca="false">(AC97-AC93-AC98)*AC92</f>
        <v>0</v>
      </c>
      <c r="AD99" s="55" t="n">
        <f aca="false">(AD97-AD93-AD98)*AD92</f>
        <v>0</v>
      </c>
      <c r="AE99" s="55" t="n">
        <f aca="false">(AE97-AE93-AE98)*AE92</f>
        <v>0</v>
      </c>
      <c r="AF99" s="55" t="n">
        <f aca="false">(AF97-AF93-AF98)*AF92</f>
        <v>0</v>
      </c>
      <c r="AG99" s="55" t="n">
        <f aca="false">(AG97-AG93-AG98)*AG92</f>
        <v>0</v>
      </c>
      <c r="AH99" s="55" t="n">
        <f aca="false">(AH97-AH93-AH98)*AH92</f>
        <v>0</v>
      </c>
    </row>
    <row r="100" customFormat="false" ht="15" hidden="false" customHeight="true" outlineLevel="0" collapsed="false">
      <c r="A100" s="33" t="s">
        <v>1412</v>
      </c>
      <c r="C100" s="46" t="n">
        <f aca="false">SUMPRODUCT(D100:AH100,D$5:AH$5)</f>
        <v>0</v>
      </c>
      <c r="D100" s="52" t="n">
        <f aca="false">0</f>
        <v>0</v>
      </c>
      <c r="E100" s="52" t="n">
        <f aca="false">0</f>
        <v>0</v>
      </c>
      <c r="F100" s="52" t="n">
        <f aca="false">0</f>
        <v>0</v>
      </c>
      <c r="G100" s="52" t="n">
        <f aca="false">0</f>
        <v>0</v>
      </c>
      <c r="H100" s="52" t="n">
        <f aca="false">0</f>
        <v>0</v>
      </c>
      <c r="I100" s="52" t="n">
        <f aca="false">0</f>
        <v>0</v>
      </c>
      <c r="J100" s="52" t="n">
        <f aca="false">0</f>
        <v>0</v>
      </c>
      <c r="K100" s="52" t="n">
        <f aca="false">0</f>
        <v>0</v>
      </c>
      <c r="L100" s="52" t="n">
        <f aca="false">0</f>
        <v>0</v>
      </c>
      <c r="M100" s="52" t="n">
        <f aca="false">0</f>
        <v>0</v>
      </c>
      <c r="N100" s="52" t="n">
        <f aca="false">0</f>
        <v>0</v>
      </c>
      <c r="O100" s="52" t="n">
        <f aca="false">0</f>
        <v>0</v>
      </c>
      <c r="P100" s="52" t="n">
        <f aca="false">0</f>
        <v>0</v>
      </c>
      <c r="Q100" s="52" t="n">
        <f aca="false">0</f>
        <v>0</v>
      </c>
      <c r="R100" s="52" t="n">
        <f aca="false">0</f>
        <v>0</v>
      </c>
      <c r="S100" s="52" t="n">
        <f aca="false">0</f>
        <v>0</v>
      </c>
      <c r="T100" s="52" t="n">
        <f aca="false">0</f>
        <v>0</v>
      </c>
      <c r="U100" s="52" t="n">
        <f aca="false">0</f>
        <v>0</v>
      </c>
      <c r="V100" s="52" t="n">
        <f aca="false">0</f>
        <v>0</v>
      </c>
      <c r="W100" s="52" t="n">
        <f aca="false">0</f>
        <v>0</v>
      </c>
      <c r="X100" s="52" t="n">
        <f aca="false">0</f>
        <v>0</v>
      </c>
      <c r="Y100" s="52" t="n">
        <f aca="false">0</f>
        <v>0</v>
      </c>
      <c r="Z100" s="52" t="n">
        <f aca="false">0</f>
        <v>0</v>
      </c>
      <c r="AA100" s="52" t="n">
        <f aca="false">0</f>
        <v>0</v>
      </c>
      <c r="AB100" s="52" t="n">
        <f aca="false">0</f>
        <v>0</v>
      </c>
      <c r="AC100" s="52" t="n">
        <f aca="false">0</f>
        <v>0</v>
      </c>
      <c r="AD100" s="52" t="n">
        <f aca="false">0</f>
        <v>0</v>
      </c>
      <c r="AE100" s="52" t="n">
        <f aca="false">0</f>
        <v>0</v>
      </c>
      <c r="AF100" s="52" t="n">
        <f aca="false">0</f>
        <v>0</v>
      </c>
      <c r="AG100" s="52" t="n">
        <f aca="false">0</f>
        <v>0</v>
      </c>
      <c r="AH100" s="52" t="n">
        <f aca="false">0</f>
        <v>0</v>
      </c>
    </row>
    <row r="101" customFormat="false" ht="15" hidden="false" customHeight="true" outlineLevel="0" collapsed="false">
      <c r="A101" s="33" t="s">
        <v>1413</v>
      </c>
      <c r="C101" s="46" t="n">
        <f aca="false">SUMPRODUCT(D101:AH101,D$5:AH$5)</f>
        <v>0</v>
      </c>
      <c r="D101" s="52" t="n">
        <f aca="false">D94*D92</f>
        <v>0</v>
      </c>
      <c r="E101" s="52" t="n">
        <f aca="false">E94*E92</f>
        <v>0</v>
      </c>
      <c r="F101" s="52" t="n">
        <f aca="false">F94*F92</f>
        <v>0</v>
      </c>
      <c r="G101" s="52" t="n">
        <f aca="false">G94*G92</f>
        <v>0</v>
      </c>
      <c r="H101" s="52" t="n">
        <f aca="false">H94*H92</f>
        <v>0</v>
      </c>
      <c r="I101" s="52" t="n">
        <f aca="false">I94*I92</f>
        <v>0</v>
      </c>
      <c r="J101" s="52" t="n">
        <f aca="false">J94*J92</f>
        <v>0</v>
      </c>
      <c r="K101" s="52" t="n">
        <f aca="false">K94*K92</f>
        <v>0</v>
      </c>
      <c r="L101" s="52" t="n">
        <f aca="false">L94*L92</f>
        <v>0</v>
      </c>
      <c r="M101" s="52" t="n">
        <f aca="false">M94*M92</f>
        <v>0</v>
      </c>
      <c r="N101" s="52" t="n">
        <f aca="false">N94*N92</f>
        <v>0</v>
      </c>
      <c r="O101" s="52" t="n">
        <f aca="false">O94*O92</f>
        <v>0</v>
      </c>
      <c r="P101" s="52" t="n">
        <f aca="false">P94*P92</f>
        <v>0</v>
      </c>
      <c r="Q101" s="52" t="n">
        <f aca="false">Q94*Q92</f>
        <v>0</v>
      </c>
      <c r="R101" s="52" t="n">
        <f aca="false">R94*R92</f>
        <v>0</v>
      </c>
      <c r="S101" s="52" t="n">
        <f aca="false">S94*S92</f>
        <v>0</v>
      </c>
      <c r="T101" s="52" t="n">
        <f aca="false">T94*T92</f>
        <v>0</v>
      </c>
      <c r="U101" s="52" t="n">
        <f aca="false">U94*U92</f>
        <v>0</v>
      </c>
      <c r="V101" s="52" t="n">
        <f aca="false">V94*V92</f>
        <v>0</v>
      </c>
      <c r="W101" s="52" t="n">
        <f aca="false">W94*W92</f>
        <v>0</v>
      </c>
      <c r="X101" s="52" t="n">
        <f aca="false">X94*X92</f>
        <v>0</v>
      </c>
      <c r="Y101" s="52" t="n">
        <f aca="false">Y94*Y92</f>
        <v>0</v>
      </c>
      <c r="Z101" s="52" t="n">
        <f aca="false">Z94*Z92</f>
        <v>0</v>
      </c>
      <c r="AA101" s="52" t="n">
        <f aca="false">AA94*AA92</f>
        <v>0</v>
      </c>
      <c r="AB101" s="52" t="n">
        <f aca="false">AB94*AB92</f>
        <v>0</v>
      </c>
      <c r="AC101" s="52" t="n">
        <f aca="false">AC94*AC92</f>
        <v>0</v>
      </c>
      <c r="AD101" s="52" t="n">
        <f aca="false">AD94*AD92</f>
        <v>0</v>
      </c>
      <c r="AE101" s="52" t="n">
        <f aca="false">AE94*AE92</f>
        <v>0</v>
      </c>
      <c r="AF101" s="52" t="n">
        <f aca="false">AF94*AF92</f>
        <v>0</v>
      </c>
      <c r="AG101" s="52" t="n">
        <f aca="false">AG94*AG92</f>
        <v>0</v>
      </c>
      <c r="AH101" s="52" t="n">
        <f aca="false">AH94*AH92</f>
        <v>0</v>
      </c>
    </row>
    <row r="103" customFormat="false" ht="15" hidden="false" customHeight="true" outlineLevel="0" collapsed="false">
      <c r="A103" s="53" t="s">
        <v>1420</v>
      </c>
      <c r="B103" s="58" t="s">
        <v>1403</v>
      </c>
      <c r="C103" s="59" t="n">
        <f aca="false">in_G02a</f>
        <v>20</v>
      </c>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row>
    <row r="104" customFormat="false" ht="15" hidden="false" customHeight="true" outlineLevel="0" collapsed="false">
      <c r="A104" s="33" t="s">
        <v>1404</v>
      </c>
      <c r="D104" s="61" t="n">
        <f aca="false">IF(D$3&lt;=in_G02a,1,0)</f>
        <v>1</v>
      </c>
      <c r="E104" s="61" t="n">
        <f aca="false">IF(E$3&lt;=in_G02a,1,0)</f>
        <v>1</v>
      </c>
      <c r="F104" s="61" t="n">
        <f aca="false">IF(F$3&lt;=in_G02a,1,0)</f>
        <v>1</v>
      </c>
      <c r="G104" s="61" t="n">
        <f aca="false">IF(G$3&lt;=in_G02a,1,0)</f>
        <v>1</v>
      </c>
      <c r="H104" s="61" t="n">
        <f aca="false">IF(H$3&lt;=in_G02a,1,0)</f>
        <v>1</v>
      </c>
      <c r="I104" s="61" t="n">
        <f aca="false">IF(I$3&lt;=in_G02a,1,0)</f>
        <v>1</v>
      </c>
      <c r="J104" s="61" t="n">
        <f aca="false">IF(J$3&lt;=in_G02a,1,0)</f>
        <v>1</v>
      </c>
      <c r="K104" s="61" t="n">
        <f aca="false">IF(K$3&lt;=in_G02a,1,0)</f>
        <v>1</v>
      </c>
      <c r="L104" s="61" t="n">
        <f aca="false">IF(L$3&lt;=in_G02a,1,0)</f>
        <v>1</v>
      </c>
      <c r="M104" s="61" t="n">
        <f aca="false">IF(M$3&lt;=in_G02a,1,0)</f>
        <v>1</v>
      </c>
      <c r="N104" s="61" t="n">
        <f aca="false">IF(N$3&lt;=in_G02a,1,0)</f>
        <v>1</v>
      </c>
      <c r="O104" s="61" t="n">
        <f aca="false">IF(O$3&lt;=in_G02a,1,0)</f>
        <v>1</v>
      </c>
      <c r="P104" s="61" t="n">
        <f aca="false">IF(P$3&lt;=in_G02a,1,0)</f>
        <v>1</v>
      </c>
      <c r="Q104" s="61" t="n">
        <f aca="false">IF(Q$3&lt;=in_G02a,1,0)</f>
        <v>1</v>
      </c>
      <c r="R104" s="61" t="n">
        <f aca="false">IF(R$3&lt;=in_G02a,1,0)</f>
        <v>1</v>
      </c>
      <c r="S104" s="61" t="n">
        <f aca="false">IF(S$3&lt;=in_G02a,1,0)</f>
        <v>1</v>
      </c>
      <c r="T104" s="61" t="n">
        <f aca="false">IF(T$3&lt;=in_G02a,1,0)</f>
        <v>1</v>
      </c>
      <c r="U104" s="61" t="n">
        <f aca="false">IF(U$3&lt;=in_G02a,1,0)</f>
        <v>1</v>
      </c>
      <c r="V104" s="61" t="n">
        <f aca="false">IF(V$3&lt;=in_G02a,1,0)</f>
        <v>1</v>
      </c>
      <c r="W104" s="61" t="n">
        <f aca="false">IF(W$3&lt;=in_G02a,1,0)</f>
        <v>1</v>
      </c>
      <c r="X104" s="61" t="n">
        <f aca="false">IF(X$3&lt;=in_G02a,1,0)</f>
        <v>1</v>
      </c>
      <c r="Y104" s="61" t="n">
        <f aca="false">IF(Y$3&lt;=in_G02a,1,0)</f>
        <v>0</v>
      </c>
      <c r="Z104" s="61" t="n">
        <f aca="false">IF(Z$3&lt;=in_G02a,1,0)</f>
        <v>0</v>
      </c>
      <c r="AA104" s="61" t="n">
        <f aca="false">IF(AA$3&lt;=in_G02a,1,0)</f>
        <v>0</v>
      </c>
      <c r="AB104" s="61" t="n">
        <f aca="false">IF(AB$3&lt;=in_G02a,1,0)</f>
        <v>0</v>
      </c>
      <c r="AC104" s="61" t="n">
        <f aca="false">IF(AC$3&lt;=in_G02a,1,0)</f>
        <v>0</v>
      </c>
      <c r="AD104" s="61" t="n">
        <f aca="false">IF(AD$3&lt;=in_G02a,1,0)</f>
        <v>0</v>
      </c>
      <c r="AE104" s="61" t="n">
        <f aca="false">IF(AE$3&lt;=in_G02a,1,0)</f>
        <v>0</v>
      </c>
      <c r="AF104" s="61" t="n">
        <f aca="false">IF(AF$3&lt;=in_G02a,1,0)</f>
        <v>0</v>
      </c>
      <c r="AG104" s="61" t="n">
        <f aca="false">IF(AG$3&lt;=in_G02a,1,0)</f>
        <v>0</v>
      </c>
      <c r="AH104" s="61" t="n">
        <f aca="false">IF(AH$3&lt;=in_G02a,1,0)</f>
        <v>0</v>
      </c>
    </row>
    <row r="105" customFormat="false" ht="15" hidden="false" customHeight="true" outlineLevel="0" collapsed="false">
      <c r="A105" s="33" t="s">
        <v>1405</v>
      </c>
      <c r="C105" s="46" t="n">
        <f aca="false">SUMPRODUCT(D105:AH105,D$5:AH$5)</f>
        <v>0</v>
      </c>
      <c r="D105" s="52" t="n">
        <f aca="false">0</f>
        <v>0</v>
      </c>
      <c r="E105" s="52" t="n">
        <f aca="false">0</f>
        <v>0</v>
      </c>
      <c r="F105" s="52" t="n">
        <f aca="false">0</f>
        <v>0</v>
      </c>
      <c r="G105" s="52" t="n">
        <f aca="false">0</f>
        <v>0</v>
      </c>
      <c r="H105" s="52" t="n">
        <f aca="false">0</f>
        <v>0</v>
      </c>
      <c r="I105" s="52" t="n">
        <f aca="false">0</f>
        <v>0</v>
      </c>
      <c r="J105" s="52" t="n">
        <f aca="false">0</f>
        <v>0</v>
      </c>
      <c r="K105" s="52" t="n">
        <f aca="false">0</f>
        <v>0</v>
      </c>
      <c r="L105" s="52" t="n">
        <f aca="false">0</f>
        <v>0</v>
      </c>
      <c r="M105" s="52" t="n">
        <f aca="false">0</f>
        <v>0</v>
      </c>
      <c r="N105" s="52" t="n">
        <f aca="false">0</f>
        <v>0</v>
      </c>
      <c r="O105" s="52" t="n">
        <f aca="false">0</f>
        <v>0</v>
      </c>
      <c r="P105" s="52" t="n">
        <f aca="false">0</f>
        <v>0</v>
      </c>
      <c r="Q105" s="52" t="n">
        <f aca="false">0</f>
        <v>0</v>
      </c>
      <c r="R105" s="52" t="n">
        <f aca="false">0</f>
        <v>0</v>
      </c>
      <c r="S105" s="52" t="n">
        <f aca="false">0</f>
        <v>0</v>
      </c>
      <c r="T105" s="52" t="n">
        <f aca="false">0</f>
        <v>0</v>
      </c>
      <c r="U105" s="52" t="n">
        <f aca="false">0</f>
        <v>0</v>
      </c>
      <c r="V105" s="52" t="n">
        <f aca="false">0</f>
        <v>0</v>
      </c>
      <c r="W105" s="52" t="n">
        <f aca="false">0</f>
        <v>0</v>
      </c>
      <c r="X105" s="52" t="n">
        <f aca="false">0</f>
        <v>0</v>
      </c>
      <c r="Y105" s="52" t="n">
        <f aca="false">0</f>
        <v>0</v>
      </c>
      <c r="Z105" s="52" t="n">
        <f aca="false">0</f>
        <v>0</v>
      </c>
      <c r="AA105" s="52" t="n">
        <f aca="false">0</f>
        <v>0</v>
      </c>
      <c r="AB105" s="52" t="n">
        <f aca="false">0</f>
        <v>0</v>
      </c>
      <c r="AC105" s="52" t="n">
        <f aca="false">0</f>
        <v>0</v>
      </c>
      <c r="AD105" s="52" t="n">
        <f aca="false">0</f>
        <v>0</v>
      </c>
      <c r="AE105" s="52" t="n">
        <f aca="false">0</f>
        <v>0</v>
      </c>
      <c r="AF105" s="52" t="n">
        <f aca="false">0</f>
        <v>0</v>
      </c>
      <c r="AG105" s="52" t="n">
        <f aca="false">0</f>
        <v>0</v>
      </c>
      <c r="AH105" s="52" t="n">
        <f aca="false">0</f>
        <v>0</v>
      </c>
    </row>
    <row r="106" customFormat="false" ht="15" hidden="false" customHeight="true" outlineLevel="0" collapsed="false">
      <c r="A106" s="33" t="s">
        <v>1406</v>
      </c>
      <c r="D106" s="52" t="n">
        <f aca="false">0</f>
        <v>0</v>
      </c>
      <c r="E106" s="52" t="n">
        <f aca="false">0</f>
        <v>0</v>
      </c>
      <c r="F106" s="52" t="n">
        <f aca="false">0</f>
        <v>0</v>
      </c>
      <c r="G106" s="52" t="n">
        <f aca="false">0</f>
        <v>0</v>
      </c>
      <c r="H106" s="52" t="n">
        <f aca="false">0</f>
        <v>0</v>
      </c>
      <c r="I106" s="52" t="n">
        <f aca="false">0</f>
        <v>0</v>
      </c>
      <c r="J106" s="52" t="n">
        <f aca="false">0</f>
        <v>0</v>
      </c>
      <c r="K106" s="52" t="n">
        <f aca="false">0</f>
        <v>0</v>
      </c>
      <c r="L106" s="52" t="n">
        <f aca="false">0</f>
        <v>0</v>
      </c>
      <c r="M106" s="52" t="n">
        <f aca="false">0</f>
        <v>0</v>
      </c>
      <c r="N106" s="52" t="n">
        <f aca="false">0</f>
        <v>0</v>
      </c>
      <c r="O106" s="52" t="n">
        <f aca="false">0</f>
        <v>0</v>
      </c>
      <c r="P106" s="52" t="n">
        <f aca="false">0</f>
        <v>0</v>
      </c>
      <c r="Q106" s="52" t="n">
        <f aca="false">0</f>
        <v>0</v>
      </c>
      <c r="R106" s="52" t="n">
        <f aca="false">0</f>
        <v>0</v>
      </c>
      <c r="S106" s="52" t="n">
        <f aca="false">0</f>
        <v>0</v>
      </c>
      <c r="T106" s="52" t="n">
        <f aca="false">0</f>
        <v>0</v>
      </c>
      <c r="U106" s="52" t="n">
        <f aca="false">0</f>
        <v>0</v>
      </c>
      <c r="V106" s="52" t="n">
        <f aca="false">0</f>
        <v>0</v>
      </c>
      <c r="W106" s="52" t="n">
        <f aca="false">0</f>
        <v>0</v>
      </c>
      <c r="X106" s="52" t="n">
        <f aca="false">0</f>
        <v>0</v>
      </c>
      <c r="Y106" s="52" t="n">
        <f aca="false">0</f>
        <v>0</v>
      </c>
      <c r="Z106" s="52" t="n">
        <f aca="false">0</f>
        <v>0</v>
      </c>
      <c r="AA106" s="52" t="n">
        <f aca="false">0</f>
        <v>0</v>
      </c>
      <c r="AB106" s="52" t="n">
        <f aca="false">0</f>
        <v>0</v>
      </c>
      <c r="AC106" s="52" t="n">
        <f aca="false">0</f>
        <v>0</v>
      </c>
      <c r="AD106" s="52" t="n">
        <f aca="false">0</f>
        <v>0</v>
      </c>
      <c r="AE106" s="52" t="n">
        <f aca="false">0</f>
        <v>0</v>
      </c>
      <c r="AF106" s="52" t="n">
        <f aca="false">0</f>
        <v>0</v>
      </c>
      <c r="AG106" s="52" t="n">
        <f aca="false">0</f>
        <v>0</v>
      </c>
      <c r="AH106" s="52" t="n">
        <f aca="false">0</f>
        <v>0</v>
      </c>
    </row>
    <row r="107" customFormat="false" ht="15" hidden="false" customHeight="true" outlineLevel="0" collapsed="false">
      <c r="A107" s="33" t="s">
        <v>1407</v>
      </c>
      <c r="D107" s="52" t="n">
        <f aca="false">IF(D$3=0,0,MIN(in_C08*1000,in_E09*in_E02*(1-in_E23)^(D$3-1))*in_E03*in_E08)</f>
        <v>0</v>
      </c>
      <c r="E107" s="52" t="n">
        <f aca="false">IF(E$3=0,0,MIN(in_C08*1000,in_E09*in_E02*(1-in_E23)^(E$3-1))*in_E03*in_E08)</f>
        <v>5624</v>
      </c>
      <c r="F107" s="52" t="n">
        <f aca="false">IF(F$3=0,0,MIN(in_C08*1000,in_E09*in_E02*(1-in_E23)^(F$3-1))*in_E03*in_E08)</f>
        <v>5595.88</v>
      </c>
      <c r="G107" s="52" t="n">
        <f aca="false">IF(G$3=0,0,MIN(in_C08*1000,in_E09*in_E02*(1-in_E23)^(G$3-1))*in_E03*in_E08)</f>
        <v>5567.9006</v>
      </c>
      <c r="H107" s="52" t="n">
        <f aca="false">IF(H$3=0,0,MIN(in_C08*1000,in_E09*in_E02*(1-in_E23)^(H$3-1))*in_E03*in_E08)</f>
        <v>5540.061097</v>
      </c>
      <c r="I107" s="52" t="n">
        <f aca="false">IF(I$3=0,0,MIN(in_C08*1000,in_E09*in_E02*(1-in_E23)^(I$3-1))*in_E03*in_E08)</f>
        <v>5512.360791515</v>
      </c>
      <c r="J107" s="52" t="n">
        <f aca="false">IF(J$3=0,0,MIN(in_C08*1000,in_E09*in_E02*(1-in_E23)^(J$3-1))*in_E03*in_E08)</f>
        <v>5484.79898755743</v>
      </c>
      <c r="K107" s="52" t="n">
        <f aca="false">IF(K$3=0,0,MIN(in_C08*1000,in_E09*in_E02*(1-in_E23)^(K$3-1))*in_E03*in_E08)</f>
        <v>5457.37499261964</v>
      </c>
      <c r="L107" s="52" t="n">
        <f aca="false">IF(L$3=0,0,MIN(in_C08*1000,in_E09*in_E02*(1-in_E23)^(L$3-1))*in_E03*in_E08)</f>
        <v>5430.08811765654</v>
      </c>
      <c r="M107" s="52" t="n">
        <f aca="false">IF(M$3=0,0,MIN(in_C08*1000,in_E09*in_E02*(1-in_E23)^(M$3-1))*in_E03*in_E08)</f>
        <v>5402.93767706826</v>
      </c>
      <c r="N107" s="52" t="n">
        <f aca="false">IF(N$3=0,0,MIN(in_C08*1000,in_E09*in_E02*(1-in_E23)^(N$3-1))*in_E03*in_E08)</f>
        <v>5375.92298868292</v>
      </c>
      <c r="O107" s="52" t="n">
        <f aca="false">IF(O$3=0,0,MIN(in_C08*1000,in_E09*in_E02*(1-in_E23)^(O$3-1))*in_E03*in_E08)</f>
        <v>5349.0433737395</v>
      </c>
      <c r="P107" s="52" t="n">
        <f aca="false">IF(P$3=0,0,MIN(in_C08*1000,in_E09*in_E02*(1-in_E23)^(P$3-1))*in_E03*in_E08)</f>
        <v>5322.2981568708</v>
      </c>
      <c r="Q107" s="52" t="n">
        <f aca="false">IF(Q$3=0,0,MIN(in_C08*1000,in_E09*in_E02*(1-in_E23)^(Q$3-1))*in_E03*in_E08)</f>
        <v>5295.68666608645</v>
      </c>
      <c r="R107" s="52" t="n">
        <f aca="false">IF(R$3=0,0,MIN(in_C08*1000,in_E09*in_E02*(1-in_E23)^(R$3-1))*in_E03*in_E08)</f>
        <v>5269.20823275602</v>
      </c>
      <c r="S107" s="52" t="n">
        <f aca="false">IF(S$3=0,0,MIN(in_C08*1000,in_E09*in_E02*(1-in_E23)^(S$3-1))*in_E03*in_E08)</f>
        <v>5242.86219159224</v>
      </c>
      <c r="T107" s="52" t="n">
        <f aca="false">IF(T$3=0,0,MIN(in_C08*1000,in_E09*in_E02*(1-in_E23)^(T$3-1))*in_E03*in_E08)</f>
        <v>5216.64788063428</v>
      </c>
      <c r="U107" s="52" t="n">
        <f aca="false">IF(U$3=0,0,MIN(in_C08*1000,in_E09*in_E02*(1-in_E23)^(U$3-1))*in_E03*in_E08)</f>
        <v>5190.5646412311</v>
      </c>
      <c r="V107" s="52" t="n">
        <f aca="false">IF(V$3=0,0,MIN(in_C08*1000,in_E09*in_E02*(1-in_E23)^(V$3-1))*in_E03*in_E08)</f>
        <v>5164.61181802495</v>
      </c>
      <c r="W107" s="52" t="n">
        <f aca="false">IF(W$3=0,0,MIN(in_C08*1000,in_E09*in_E02*(1-in_E23)^(W$3-1))*in_E03*in_E08)</f>
        <v>5138.78875893483</v>
      </c>
      <c r="X107" s="52" t="n">
        <f aca="false">IF(X$3=0,0,MIN(in_C08*1000,in_E09*in_E02*(1-in_E23)^(X$3-1))*in_E03*in_E08)</f>
        <v>5113.09481514015</v>
      </c>
      <c r="Y107" s="52" t="n">
        <f aca="false">IF(Y$3=0,0,MIN(in_C08*1000,in_E09*in_E02*(1-in_E23)^(Y$3-1))*in_E03*in_E08)</f>
        <v>5087.52934106445</v>
      </c>
      <c r="Z107" s="52" t="n">
        <f aca="false">IF(Z$3=0,0,MIN(in_C08*1000,in_E09*in_E02*(1-in_E23)^(Z$3-1))*in_E03*in_E08)</f>
        <v>5062.09169435913</v>
      </c>
      <c r="AA107" s="52" t="n">
        <f aca="false">IF(AA$3=0,0,MIN(in_C08*1000,in_E09*in_E02*(1-in_E23)^(AA$3-1))*in_E03*in_E08)</f>
        <v>5036.78123588733</v>
      </c>
      <c r="AB107" s="52" t="n">
        <f aca="false">IF(AB$3=0,0,MIN(in_C08*1000,in_E09*in_E02*(1-in_E23)^(AB$3-1))*in_E03*in_E08)</f>
        <v>5011.5973297079</v>
      </c>
      <c r="AC107" s="52" t="n">
        <f aca="false">IF(AC$3=0,0,MIN(in_C08*1000,in_E09*in_E02*(1-in_E23)^(AC$3-1))*in_E03*in_E08)</f>
        <v>4986.53934305936</v>
      </c>
      <c r="AD107" s="52" t="n">
        <f aca="false">IF(AD$3=0,0,MIN(in_C08*1000,in_E09*in_E02*(1-in_E23)^(AD$3-1))*in_E03*in_E08)</f>
        <v>4961.60664634406</v>
      </c>
      <c r="AE107" s="52" t="n">
        <f aca="false">IF(AE$3=0,0,MIN(in_C08*1000,in_E09*in_E02*(1-in_E23)^(AE$3-1))*in_E03*in_E08)</f>
        <v>4936.79861311234</v>
      </c>
      <c r="AF107" s="52" t="n">
        <f aca="false">IF(AF$3=0,0,MIN(in_C08*1000,in_E09*in_E02*(1-in_E23)^(AF$3-1))*in_E03*in_E08)</f>
        <v>4912.11462004678</v>
      </c>
      <c r="AG107" s="52" t="n">
        <f aca="false">IF(AG$3=0,0,MIN(in_C08*1000,in_E09*in_E02*(1-in_E23)^(AG$3-1))*in_E03*in_E08)</f>
        <v>4887.55404694654</v>
      </c>
      <c r="AH107" s="52" t="n">
        <f aca="false">IF(AH$3=0,0,MIN(in_C08*1000,in_E09*in_E02*(1-in_E23)^(AH$3-1))*in_E03*in_E08)</f>
        <v>4863.11627671181</v>
      </c>
    </row>
    <row r="108" customFormat="false" ht="15" hidden="false" customHeight="true" outlineLevel="0" collapsed="false">
      <c r="A108" s="33" t="s">
        <v>1408</v>
      </c>
      <c r="D108" s="52" t="n">
        <f aca="false">0</f>
        <v>0</v>
      </c>
      <c r="E108" s="52" t="n">
        <f aca="false">0</f>
        <v>0</v>
      </c>
      <c r="F108" s="52" t="n">
        <f aca="false">0</f>
        <v>0</v>
      </c>
      <c r="G108" s="52" t="n">
        <f aca="false">0</f>
        <v>0</v>
      </c>
      <c r="H108" s="52" t="n">
        <f aca="false">0</f>
        <v>0</v>
      </c>
      <c r="I108" s="52" t="n">
        <f aca="false">0</f>
        <v>0</v>
      </c>
      <c r="J108" s="52" t="n">
        <f aca="false">0</f>
        <v>0</v>
      </c>
      <c r="K108" s="52" t="n">
        <f aca="false">0</f>
        <v>0</v>
      </c>
      <c r="L108" s="52" t="n">
        <f aca="false">0</f>
        <v>0</v>
      </c>
      <c r="M108" s="52" t="n">
        <f aca="false">0</f>
        <v>0</v>
      </c>
      <c r="N108" s="52" t="n">
        <f aca="false">0</f>
        <v>0</v>
      </c>
      <c r="O108" s="52" t="n">
        <f aca="false">0</f>
        <v>0</v>
      </c>
      <c r="P108" s="52" t="n">
        <f aca="false">0</f>
        <v>0</v>
      </c>
      <c r="Q108" s="52" t="n">
        <f aca="false">0</f>
        <v>0</v>
      </c>
      <c r="R108" s="52" t="n">
        <f aca="false">0</f>
        <v>0</v>
      </c>
      <c r="S108" s="52" t="n">
        <f aca="false">0</f>
        <v>0</v>
      </c>
      <c r="T108" s="52" t="n">
        <f aca="false">0</f>
        <v>0</v>
      </c>
      <c r="U108" s="52" t="n">
        <f aca="false">0</f>
        <v>0</v>
      </c>
      <c r="V108" s="52" t="n">
        <f aca="false">0</f>
        <v>0</v>
      </c>
      <c r="W108" s="52" t="n">
        <f aca="false">0</f>
        <v>0</v>
      </c>
      <c r="X108" s="52" t="n">
        <f aca="false">0</f>
        <v>0</v>
      </c>
      <c r="Y108" s="52" t="n">
        <f aca="false">0</f>
        <v>0</v>
      </c>
      <c r="Z108" s="52" t="n">
        <f aca="false">0</f>
        <v>0</v>
      </c>
      <c r="AA108" s="52" t="n">
        <f aca="false">0</f>
        <v>0</v>
      </c>
      <c r="AB108" s="52" t="n">
        <f aca="false">0</f>
        <v>0</v>
      </c>
      <c r="AC108" s="52" t="n">
        <f aca="false">0</f>
        <v>0</v>
      </c>
      <c r="AD108" s="52" t="n">
        <f aca="false">0</f>
        <v>0</v>
      </c>
      <c r="AE108" s="52" t="n">
        <f aca="false">0</f>
        <v>0</v>
      </c>
      <c r="AF108" s="52" t="n">
        <f aca="false">0</f>
        <v>0</v>
      </c>
      <c r="AG108" s="52" t="n">
        <f aca="false">0</f>
        <v>0</v>
      </c>
      <c r="AH108" s="52" t="n">
        <f aca="false">0</f>
        <v>0</v>
      </c>
    </row>
    <row r="109" customFormat="false" ht="15" hidden="false" customHeight="true" outlineLevel="0" collapsed="false">
      <c r="A109" s="33" t="s">
        <v>1409</v>
      </c>
      <c r="D109" s="52" t="n">
        <f aca="false">D106+D107-D108</f>
        <v>0</v>
      </c>
      <c r="E109" s="52" t="n">
        <f aca="false">E106+E107-E108</f>
        <v>5624</v>
      </c>
      <c r="F109" s="52" t="n">
        <f aca="false">F106+F107-F108</f>
        <v>5595.88</v>
      </c>
      <c r="G109" s="52" t="n">
        <f aca="false">G106+G107-G108</f>
        <v>5567.9006</v>
      </c>
      <c r="H109" s="52" t="n">
        <f aca="false">H106+H107-H108</f>
        <v>5540.061097</v>
      </c>
      <c r="I109" s="52" t="n">
        <f aca="false">I106+I107-I108</f>
        <v>5512.360791515</v>
      </c>
      <c r="J109" s="52" t="n">
        <f aca="false">J106+J107-J108</f>
        <v>5484.79898755743</v>
      </c>
      <c r="K109" s="52" t="n">
        <f aca="false">K106+K107-K108</f>
        <v>5457.37499261964</v>
      </c>
      <c r="L109" s="52" t="n">
        <f aca="false">L106+L107-L108</f>
        <v>5430.08811765654</v>
      </c>
      <c r="M109" s="52" t="n">
        <f aca="false">M106+M107-M108</f>
        <v>5402.93767706826</v>
      </c>
      <c r="N109" s="52" t="n">
        <f aca="false">N106+N107-N108</f>
        <v>5375.92298868292</v>
      </c>
      <c r="O109" s="52" t="n">
        <f aca="false">O106+O107-O108</f>
        <v>5349.0433737395</v>
      </c>
      <c r="P109" s="52" t="n">
        <f aca="false">P106+P107-P108</f>
        <v>5322.2981568708</v>
      </c>
      <c r="Q109" s="52" t="n">
        <f aca="false">Q106+Q107-Q108</f>
        <v>5295.68666608645</v>
      </c>
      <c r="R109" s="52" t="n">
        <f aca="false">R106+R107-R108</f>
        <v>5269.20823275602</v>
      </c>
      <c r="S109" s="52" t="n">
        <f aca="false">S106+S107-S108</f>
        <v>5242.86219159224</v>
      </c>
      <c r="T109" s="52" t="n">
        <f aca="false">T106+T107-T108</f>
        <v>5216.64788063428</v>
      </c>
      <c r="U109" s="52" t="n">
        <f aca="false">U106+U107-U108</f>
        <v>5190.5646412311</v>
      </c>
      <c r="V109" s="52" t="n">
        <f aca="false">V106+V107-V108</f>
        <v>5164.61181802495</v>
      </c>
      <c r="W109" s="52" t="n">
        <f aca="false">W106+W107-W108</f>
        <v>5138.78875893483</v>
      </c>
      <c r="X109" s="52" t="n">
        <f aca="false">X106+X107-X108</f>
        <v>5113.09481514015</v>
      </c>
      <c r="Y109" s="52" t="n">
        <f aca="false">Y106+Y107-Y108</f>
        <v>5087.52934106445</v>
      </c>
      <c r="Z109" s="52" t="n">
        <f aca="false">Z106+Z107-Z108</f>
        <v>5062.09169435913</v>
      </c>
      <c r="AA109" s="52" t="n">
        <f aca="false">AA106+AA107-AA108</f>
        <v>5036.78123588733</v>
      </c>
      <c r="AB109" s="52" t="n">
        <f aca="false">AB106+AB107-AB108</f>
        <v>5011.5973297079</v>
      </c>
      <c r="AC109" s="52" t="n">
        <f aca="false">AC106+AC107-AC108</f>
        <v>4986.53934305936</v>
      </c>
      <c r="AD109" s="52" t="n">
        <f aca="false">AD106+AD107-AD108</f>
        <v>4961.60664634406</v>
      </c>
      <c r="AE109" s="52" t="n">
        <f aca="false">AE106+AE107-AE108</f>
        <v>4936.79861311234</v>
      </c>
      <c r="AF109" s="52" t="n">
        <f aca="false">AF106+AF107-AF108</f>
        <v>4912.11462004678</v>
      </c>
      <c r="AG109" s="52" t="n">
        <f aca="false">AG106+AG107-AG108</f>
        <v>4887.55404694654</v>
      </c>
      <c r="AH109" s="52" t="n">
        <f aca="false">AH106+AH107-AH108</f>
        <v>4863.11627671181</v>
      </c>
    </row>
    <row r="110" customFormat="false" ht="15" hidden="false" customHeight="true" outlineLevel="0" collapsed="false">
      <c r="A110" s="33" t="s">
        <v>1410</v>
      </c>
      <c r="D110" s="52" t="n">
        <f aca="false">D$4*MAX(0,D109)</f>
        <v>0</v>
      </c>
      <c r="E110" s="52" t="n">
        <f aca="false">E$4*MAX(0,E109)</f>
        <v>0</v>
      </c>
      <c r="F110" s="52" t="n">
        <f aca="false">F$4*MAX(0,F109)</f>
        <v>0</v>
      </c>
      <c r="G110" s="52" t="n">
        <f aca="false">G$4*MAX(0,G109)</f>
        <v>0</v>
      </c>
      <c r="H110" s="52" t="n">
        <f aca="false">H$4*MAX(0,H109)</f>
        <v>0</v>
      </c>
      <c r="I110" s="52" t="n">
        <f aca="false">I$4*MAX(0,I109)</f>
        <v>0</v>
      </c>
      <c r="J110" s="52" t="n">
        <f aca="false">J$4*MAX(0,J109)</f>
        <v>0</v>
      </c>
      <c r="K110" s="52" t="n">
        <f aca="false">K$4*MAX(0,K109)</f>
        <v>0</v>
      </c>
      <c r="L110" s="52" t="n">
        <f aca="false">L$4*MAX(0,L109)</f>
        <v>0</v>
      </c>
      <c r="M110" s="52" t="n">
        <f aca="false">M$4*MAX(0,M109)</f>
        <v>0</v>
      </c>
      <c r="N110" s="52" t="n">
        <f aca="false">N$4*MAX(0,N109)</f>
        <v>0</v>
      </c>
      <c r="O110" s="52" t="n">
        <f aca="false">O$4*MAX(0,O109)</f>
        <v>882.592156667018</v>
      </c>
      <c r="P110" s="52" t="n">
        <f aca="false">P$4*MAX(0,P109)</f>
        <v>878.179195883683</v>
      </c>
      <c r="Q110" s="52" t="n">
        <f aca="false">Q$4*MAX(0,Q109)</f>
        <v>873.788299904264</v>
      </c>
      <c r="R110" s="52" t="n">
        <f aca="false">R$4*MAX(0,R109)</f>
        <v>869.419358404743</v>
      </c>
      <c r="S110" s="52" t="n">
        <f aca="false">S$4*MAX(0,S109)</f>
        <v>865.072261612719</v>
      </c>
      <c r="T110" s="52" t="n">
        <f aca="false">T$4*MAX(0,T109)</f>
        <v>860.746900304656</v>
      </c>
      <c r="U110" s="52" t="n">
        <f aca="false">U$4*MAX(0,U109)</f>
        <v>856.443165803132</v>
      </c>
      <c r="V110" s="52" t="n">
        <f aca="false">V$4*MAX(0,V109)</f>
        <v>852.160949974117</v>
      </c>
      <c r="W110" s="52" t="n">
        <f aca="false">W$4*MAX(0,W109)</f>
        <v>847.900145224246</v>
      </c>
      <c r="X110" s="52" t="n">
        <f aca="false">X$4*MAX(0,X109)</f>
        <v>843.660644498125</v>
      </c>
      <c r="Y110" s="52" t="n">
        <f aca="false">Y$4*MAX(0,Y109)</f>
        <v>839.442341275634</v>
      </c>
      <c r="Z110" s="52" t="n">
        <f aca="false">Z$4*MAX(0,Z109)</f>
        <v>835.245129569256</v>
      </c>
      <c r="AA110" s="52" t="n">
        <f aca="false">AA$4*MAX(0,AA109)</f>
        <v>831.06890392141</v>
      </c>
      <c r="AB110" s="52" t="n">
        <f aca="false">AB$4*MAX(0,AB109)</f>
        <v>826.913559401803</v>
      </c>
      <c r="AC110" s="52" t="n">
        <f aca="false">AC$4*MAX(0,AC109)</f>
        <v>822.778991604794</v>
      </c>
      <c r="AD110" s="52" t="n">
        <f aca="false">AD$4*MAX(0,AD109)</f>
        <v>818.66509664677</v>
      </c>
      <c r="AE110" s="52" t="n">
        <f aca="false">AE$4*MAX(0,AE109)</f>
        <v>814.571771163536</v>
      </c>
      <c r="AF110" s="52" t="n">
        <f aca="false">AF$4*MAX(0,AF109)</f>
        <v>810.498912307718</v>
      </c>
      <c r="AG110" s="52" t="n">
        <f aca="false">AG$4*MAX(0,AG109)</f>
        <v>806.44641774618</v>
      </c>
      <c r="AH110" s="52" t="n">
        <f aca="false">AH$4*MAX(0,AH109)</f>
        <v>802.414185657449</v>
      </c>
    </row>
    <row r="111" customFormat="false" ht="15" hidden="false" customHeight="true" outlineLevel="0" collapsed="false">
      <c r="A111" s="33" t="s">
        <v>1411</v>
      </c>
      <c r="C111" s="55" t="n">
        <f aca="false">SUMPRODUCT(D111:AH111,D$5:AH$5)</f>
        <v>37002.5177476084</v>
      </c>
      <c r="D111" s="55" t="n">
        <f aca="false">(D109-D105-D110)*D104</f>
        <v>0</v>
      </c>
      <c r="E111" s="55" t="n">
        <f aca="false">(E109-E105-E110)*E104</f>
        <v>5624</v>
      </c>
      <c r="F111" s="55" t="n">
        <f aca="false">(F109-F105-F110)*F104</f>
        <v>5595.88</v>
      </c>
      <c r="G111" s="55" t="n">
        <f aca="false">(G109-G105-G110)*G104</f>
        <v>5567.9006</v>
      </c>
      <c r="H111" s="55" t="n">
        <f aca="false">(H109-H105-H110)*H104</f>
        <v>5540.061097</v>
      </c>
      <c r="I111" s="55" t="n">
        <f aca="false">(I109-I105-I110)*I104</f>
        <v>5512.360791515</v>
      </c>
      <c r="J111" s="55" t="n">
        <f aca="false">(J109-J105-J110)*J104</f>
        <v>5484.79898755743</v>
      </c>
      <c r="K111" s="55" t="n">
        <f aca="false">(K109-K105-K110)*K104</f>
        <v>5457.37499261964</v>
      </c>
      <c r="L111" s="55" t="n">
        <f aca="false">(L109-L105-L110)*L104</f>
        <v>5430.08811765654</v>
      </c>
      <c r="M111" s="55" t="n">
        <f aca="false">(M109-M105-M110)*M104</f>
        <v>5402.93767706826</v>
      </c>
      <c r="N111" s="55" t="n">
        <f aca="false">(N109-N105-N110)*N104</f>
        <v>5375.92298868292</v>
      </c>
      <c r="O111" s="55" t="n">
        <f aca="false">(O109-O105-O110)*O104</f>
        <v>4466.45121707249</v>
      </c>
      <c r="P111" s="55" t="n">
        <f aca="false">(P109-P105-P110)*P104</f>
        <v>4444.11896098712</v>
      </c>
      <c r="Q111" s="55" t="n">
        <f aca="false">(Q109-Q105-Q110)*Q104</f>
        <v>4421.89836618219</v>
      </c>
      <c r="R111" s="55" t="n">
        <f aca="false">(R109-R105-R110)*R104</f>
        <v>4399.78887435128</v>
      </c>
      <c r="S111" s="55" t="n">
        <f aca="false">(S109-S105-S110)*S104</f>
        <v>4377.78992997952</v>
      </c>
      <c r="T111" s="55" t="n">
        <f aca="false">(T109-T105-T110)*T104</f>
        <v>4355.90098032962</v>
      </c>
      <c r="U111" s="55" t="n">
        <f aca="false">(U109-U105-U110)*U104</f>
        <v>4334.12147542797</v>
      </c>
      <c r="V111" s="55" t="n">
        <f aca="false">(V109-V105-V110)*V104</f>
        <v>4312.45086805083</v>
      </c>
      <c r="W111" s="55" t="n">
        <f aca="false">(W109-W105-W110)*W104</f>
        <v>4290.88861371058</v>
      </c>
      <c r="X111" s="55" t="n">
        <f aca="false">(X109-X105-X110)*X104</f>
        <v>4269.43417064203</v>
      </c>
      <c r="Y111" s="55" t="n">
        <f aca="false">(Y109-Y105-Y110)*Y104</f>
        <v>0</v>
      </c>
      <c r="Z111" s="55" t="n">
        <f aca="false">(Z109-Z105-Z110)*Z104</f>
        <v>0</v>
      </c>
      <c r="AA111" s="55" t="n">
        <f aca="false">(AA109-AA105-AA110)*AA104</f>
        <v>0</v>
      </c>
      <c r="AB111" s="55" t="n">
        <f aca="false">(AB109-AB105-AB110)*AB104</f>
        <v>0</v>
      </c>
      <c r="AC111" s="55" t="n">
        <f aca="false">(AC109-AC105-AC110)*AC104</f>
        <v>0</v>
      </c>
      <c r="AD111" s="55" t="n">
        <f aca="false">(AD109-AD105-AD110)*AD104</f>
        <v>0</v>
      </c>
      <c r="AE111" s="55" t="n">
        <f aca="false">(AE109-AE105-AE110)*AE104</f>
        <v>0</v>
      </c>
      <c r="AF111" s="55" t="n">
        <f aca="false">(AF109-AF105-AF110)*AF104</f>
        <v>0</v>
      </c>
      <c r="AG111" s="55" t="n">
        <f aca="false">(AG109-AG105-AG110)*AG104</f>
        <v>0</v>
      </c>
      <c r="AH111" s="55" t="n">
        <f aca="false">(AH109-AH105-AH110)*AH104</f>
        <v>0</v>
      </c>
    </row>
    <row r="112" customFormat="false" ht="15" hidden="false" customHeight="true" outlineLevel="0" collapsed="false">
      <c r="A112" s="33" t="s">
        <v>1412</v>
      </c>
      <c r="C112" s="46" t="n">
        <f aca="false">SUMPRODUCT(D112:AH112,D$5:AH$5)</f>
        <v>0</v>
      </c>
      <c r="D112" s="52" t="n">
        <f aca="false">0</f>
        <v>0</v>
      </c>
      <c r="E112" s="52" t="n">
        <f aca="false">0</f>
        <v>0</v>
      </c>
      <c r="F112" s="52" t="n">
        <f aca="false">0</f>
        <v>0</v>
      </c>
      <c r="G112" s="52" t="n">
        <f aca="false">0</f>
        <v>0</v>
      </c>
      <c r="H112" s="52" t="n">
        <f aca="false">0</f>
        <v>0</v>
      </c>
      <c r="I112" s="52" t="n">
        <f aca="false">0</f>
        <v>0</v>
      </c>
      <c r="J112" s="52" t="n">
        <f aca="false">0</f>
        <v>0</v>
      </c>
      <c r="K112" s="52" t="n">
        <f aca="false">0</f>
        <v>0</v>
      </c>
      <c r="L112" s="52" t="n">
        <f aca="false">0</f>
        <v>0</v>
      </c>
      <c r="M112" s="52" t="n">
        <f aca="false">0</f>
        <v>0</v>
      </c>
      <c r="N112" s="52" t="n">
        <f aca="false">0</f>
        <v>0</v>
      </c>
      <c r="O112" s="52" t="n">
        <f aca="false">0</f>
        <v>0</v>
      </c>
      <c r="P112" s="52" t="n">
        <f aca="false">0</f>
        <v>0</v>
      </c>
      <c r="Q112" s="52" t="n">
        <f aca="false">0</f>
        <v>0</v>
      </c>
      <c r="R112" s="52" t="n">
        <f aca="false">0</f>
        <v>0</v>
      </c>
      <c r="S112" s="52" t="n">
        <f aca="false">0</f>
        <v>0</v>
      </c>
      <c r="T112" s="52" t="n">
        <f aca="false">0</f>
        <v>0</v>
      </c>
      <c r="U112" s="52" t="n">
        <f aca="false">0</f>
        <v>0</v>
      </c>
      <c r="V112" s="52" t="n">
        <f aca="false">0</f>
        <v>0</v>
      </c>
      <c r="W112" s="52" t="n">
        <f aca="false">0</f>
        <v>0</v>
      </c>
      <c r="X112" s="52" t="n">
        <f aca="false">0</f>
        <v>0</v>
      </c>
      <c r="Y112" s="52" t="n">
        <f aca="false">0</f>
        <v>0</v>
      </c>
      <c r="Z112" s="52" t="n">
        <f aca="false">0</f>
        <v>0</v>
      </c>
      <c r="AA112" s="52" t="n">
        <f aca="false">0</f>
        <v>0</v>
      </c>
      <c r="AB112" s="52" t="n">
        <f aca="false">0</f>
        <v>0</v>
      </c>
      <c r="AC112" s="52" t="n">
        <f aca="false">0</f>
        <v>0</v>
      </c>
      <c r="AD112" s="52" t="n">
        <f aca="false">0</f>
        <v>0</v>
      </c>
      <c r="AE112" s="52" t="n">
        <f aca="false">0</f>
        <v>0</v>
      </c>
      <c r="AF112" s="52" t="n">
        <f aca="false">0</f>
        <v>0</v>
      </c>
      <c r="AG112" s="52" t="n">
        <f aca="false">0</f>
        <v>0</v>
      </c>
      <c r="AH112" s="52" t="n">
        <f aca="false">0</f>
        <v>0</v>
      </c>
    </row>
    <row r="113" customFormat="false" ht="15" hidden="false" customHeight="true" outlineLevel="0" collapsed="false">
      <c r="A113" s="33" t="s">
        <v>1413</v>
      </c>
      <c r="C113" s="46" t="n">
        <f aca="false">SUMPRODUCT(D113:AH113,D$5:AH$5)</f>
        <v>0</v>
      </c>
      <c r="D113" s="52" t="n">
        <f aca="false">D106*D104</f>
        <v>0</v>
      </c>
      <c r="E113" s="52" t="n">
        <f aca="false">E106*E104</f>
        <v>0</v>
      </c>
      <c r="F113" s="52" t="n">
        <f aca="false">F106*F104</f>
        <v>0</v>
      </c>
      <c r="G113" s="52" t="n">
        <f aca="false">G106*G104</f>
        <v>0</v>
      </c>
      <c r="H113" s="52" t="n">
        <f aca="false">H106*H104</f>
        <v>0</v>
      </c>
      <c r="I113" s="52" t="n">
        <f aca="false">I106*I104</f>
        <v>0</v>
      </c>
      <c r="J113" s="52" t="n">
        <f aca="false">J106*J104</f>
        <v>0</v>
      </c>
      <c r="K113" s="52" t="n">
        <f aca="false">K106*K104</f>
        <v>0</v>
      </c>
      <c r="L113" s="52" t="n">
        <f aca="false">L106*L104</f>
        <v>0</v>
      </c>
      <c r="M113" s="52" t="n">
        <f aca="false">M106*M104</f>
        <v>0</v>
      </c>
      <c r="N113" s="52" t="n">
        <f aca="false">N106*N104</f>
        <v>0</v>
      </c>
      <c r="O113" s="52" t="n">
        <f aca="false">O106*O104</f>
        <v>0</v>
      </c>
      <c r="P113" s="52" t="n">
        <f aca="false">P106*P104</f>
        <v>0</v>
      </c>
      <c r="Q113" s="52" t="n">
        <f aca="false">Q106*Q104</f>
        <v>0</v>
      </c>
      <c r="R113" s="52" t="n">
        <f aca="false">R106*R104</f>
        <v>0</v>
      </c>
      <c r="S113" s="52" t="n">
        <f aca="false">S106*S104</f>
        <v>0</v>
      </c>
      <c r="T113" s="52" t="n">
        <f aca="false">T106*T104</f>
        <v>0</v>
      </c>
      <c r="U113" s="52" t="n">
        <f aca="false">U106*U104</f>
        <v>0</v>
      </c>
      <c r="V113" s="52" t="n">
        <f aca="false">V106*V104</f>
        <v>0</v>
      </c>
      <c r="W113" s="52" t="n">
        <f aca="false">W106*W104</f>
        <v>0</v>
      </c>
      <c r="X113" s="52" t="n">
        <f aca="false">X106*X104</f>
        <v>0</v>
      </c>
      <c r="Y113" s="52" t="n">
        <f aca="false">Y106*Y104</f>
        <v>0</v>
      </c>
      <c r="Z113" s="52" t="n">
        <f aca="false">Z106*Z104</f>
        <v>0</v>
      </c>
      <c r="AA113" s="52" t="n">
        <f aca="false">AA106*AA104</f>
        <v>0</v>
      </c>
      <c r="AB113" s="52" t="n">
        <f aca="false">AB106*AB104</f>
        <v>0</v>
      </c>
      <c r="AC113" s="52" t="n">
        <f aca="false">AC106*AC104</f>
        <v>0</v>
      </c>
      <c r="AD113" s="52" t="n">
        <f aca="false">AD106*AD104</f>
        <v>0</v>
      </c>
      <c r="AE113" s="52" t="n">
        <f aca="false">AE106*AE104</f>
        <v>0</v>
      </c>
      <c r="AF113" s="52" t="n">
        <f aca="false">AF106*AF104</f>
        <v>0</v>
      </c>
      <c r="AG113" s="52" t="n">
        <f aca="false">AG106*AG104</f>
        <v>0</v>
      </c>
      <c r="AH113" s="52" t="n">
        <f aca="false">AH106*AH104</f>
        <v>0</v>
      </c>
    </row>
    <row r="115" customFormat="false" ht="15" hidden="false" customHeight="true" outlineLevel="0" collapsed="false">
      <c r="A115" s="53" t="s">
        <v>1421</v>
      </c>
      <c r="B115" s="58" t="s">
        <v>1403</v>
      </c>
      <c r="C115" s="59" t="n">
        <f aca="false">in_G02a</f>
        <v>20</v>
      </c>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row>
    <row r="116" customFormat="false" ht="15" hidden="false" customHeight="true" outlineLevel="0" collapsed="false">
      <c r="A116" s="33" t="s">
        <v>1404</v>
      </c>
      <c r="D116" s="61" t="n">
        <f aca="false">IF(D$3&lt;=in_G02a,1,0)</f>
        <v>1</v>
      </c>
      <c r="E116" s="61" t="n">
        <f aca="false">IF(E$3&lt;=in_G02a,1,0)</f>
        <v>1</v>
      </c>
      <c r="F116" s="61" t="n">
        <f aca="false">IF(F$3&lt;=in_G02a,1,0)</f>
        <v>1</v>
      </c>
      <c r="G116" s="61" t="n">
        <f aca="false">IF(G$3&lt;=in_G02a,1,0)</f>
        <v>1</v>
      </c>
      <c r="H116" s="61" t="n">
        <f aca="false">IF(H$3&lt;=in_G02a,1,0)</f>
        <v>1</v>
      </c>
      <c r="I116" s="61" t="n">
        <f aca="false">IF(I$3&lt;=in_G02a,1,0)</f>
        <v>1</v>
      </c>
      <c r="J116" s="61" t="n">
        <f aca="false">IF(J$3&lt;=in_G02a,1,0)</f>
        <v>1</v>
      </c>
      <c r="K116" s="61" t="n">
        <f aca="false">IF(K$3&lt;=in_G02a,1,0)</f>
        <v>1</v>
      </c>
      <c r="L116" s="61" t="n">
        <f aca="false">IF(L$3&lt;=in_G02a,1,0)</f>
        <v>1</v>
      </c>
      <c r="M116" s="61" t="n">
        <f aca="false">IF(M$3&lt;=in_G02a,1,0)</f>
        <v>1</v>
      </c>
      <c r="N116" s="61" t="n">
        <f aca="false">IF(N$3&lt;=in_G02a,1,0)</f>
        <v>1</v>
      </c>
      <c r="O116" s="61" t="n">
        <f aca="false">IF(O$3&lt;=in_G02a,1,0)</f>
        <v>1</v>
      </c>
      <c r="P116" s="61" t="n">
        <f aca="false">IF(P$3&lt;=in_G02a,1,0)</f>
        <v>1</v>
      </c>
      <c r="Q116" s="61" t="n">
        <f aca="false">IF(Q$3&lt;=in_G02a,1,0)</f>
        <v>1</v>
      </c>
      <c r="R116" s="61" t="n">
        <f aca="false">IF(R$3&lt;=in_G02a,1,0)</f>
        <v>1</v>
      </c>
      <c r="S116" s="61" t="n">
        <f aca="false">IF(S$3&lt;=in_G02a,1,0)</f>
        <v>1</v>
      </c>
      <c r="T116" s="61" t="n">
        <f aca="false">IF(T$3&lt;=in_G02a,1,0)</f>
        <v>1</v>
      </c>
      <c r="U116" s="61" t="n">
        <f aca="false">IF(U$3&lt;=in_G02a,1,0)</f>
        <v>1</v>
      </c>
      <c r="V116" s="61" t="n">
        <f aca="false">IF(V$3&lt;=in_G02a,1,0)</f>
        <v>1</v>
      </c>
      <c r="W116" s="61" t="n">
        <f aca="false">IF(W$3&lt;=in_G02a,1,0)</f>
        <v>1</v>
      </c>
      <c r="X116" s="61" t="n">
        <f aca="false">IF(X$3&lt;=in_G02a,1,0)</f>
        <v>1</v>
      </c>
      <c r="Y116" s="61" t="n">
        <f aca="false">IF(Y$3&lt;=in_G02a,1,0)</f>
        <v>0</v>
      </c>
      <c r="Z116" s="61" t="n">
        <f aca="false">IF(Z$3&lt;=in_G02a,1,0)</f>
        <v>0</v>
      </c>
      <c r="AA116" s="61" t="n">
        <f aca="false">IF(AA$3&lt;=in_G02a,1,0)</f>
        <v>0</v>
      </c>
      <c r="AB116" s="61" t="n">
        <f aca="false">IF(AB$3&lt;=in_G02a,1,0)</f>
        <v>0</v>
      </c>
      <c r="AC116" s="61" t="n">
        <f aca="false">IF(AC$3&lt;=in_G02a,1,0)</f>
        <v>0</v>
      </c>
      <c r="AD116" s="61" t="n">
        <f aca="false">IF(AD$3&lt;=in_G02a,1,0)</f>
        <v>0</v>
      </c>
      <c r="AE116" s="61" t="n">
        <f aca="false">IF(AE$3&lt;=in_G02a,1,0)</f>
        <v>0</v>
      </c>
      <c r="AF116" s="61" t="n">
        <f aca="false">IF(AF$3&lt;=in_G02a,1,0)</f>
        <v>0</v>
      </c>
      <c r="AG116" s="61" t="n">
        <f aca="false">IF(AG$3&lt;=in_G02a,1,0)</f>
        <v>0</v>
      </c>
      <c r="AH116" s="61" t="n">
        <f aca="false">IF(AH$3&lt;=in_G02a,1,0)</f>
        <v>0</v>
      </c>
    </row>
    <row r="117" customFormat="false" ht="15" hidden="false" customHeight="true" outlineLevel="0" collapsed="false">
      <c r="A117" s="33" t="s">
        <v>1405</v>
      </c>
      <c r="C117" s="46" t="n">
        <f aca="false">SUMPRODUCT(D117:AH117,D$5:AH$5)</f>
        <v>19928.5742998956</v>
      </c>
      <c r="D117" s="52" t="n">
        <f aca="false">IF(OR(D$3=0,AND(MOD(D$3,in_E20)=0,D$3&lt;in_G02a)),c_gen_cap,0)</f>
        <v>16192.8</v>
      </c>
      <c r="E117" s="52" t="n">
        <f aca="false">IF(OR(E$3=0,AND(MOD(E$3,in_E20)=0,E$3&lt;in_G02a)),c_gen_cap,0)</f>
        <v>0</v>
      </c>
      <c r="F117" s="52" t="n">
        <f aca="false">IF(OR(F$3=0,AND(MOD(F$3,in_E20)=0,F$3&lt;in_G02a)),c_gen_cap,0)</f>
        <v>0</v>
      </c>
      <c r="G117" s="52" t="n">
        <f aca="false">IF(OR(G$3=0,AND(MOD(G$3,in_E20)=0,G$3&lt;in_G02a)),c_gen_cap,0)</f>
        <v>0</v>
      </c>
      <c r="H117" s="52" t="n">
        <f aca="false">IF(OR(H$3=0,AND(MOD(H$3,in_E20)=0,H$3&lt;in_G02a)),c_gen_cap,0)</f>
        <v>0</v>
      </c>
      <c r="I117" s="52" t="n">
        <f aca="false">IF(OR(I$3=0,AND(MOD(I$3,in_E20)=0,I$3&lt;in_G02a)),c_gen_cap,0)</f>
        <v>0</v>
      </c>
      <c r="J117" s="52" t="n">
        <f aca="false">IF(OR(J$3=0,AND(MOD(J$3,in_E20)=0,J$3&lt;in_G02a)),c_gen_cap,0)</f>
        <v>0</v>
      </c>
      <c r="K117" s="52" t="n">
        <f aca="false">IF(OR(K$3=0,AND(MOD(K$3,in_E20)=0,K$3&lt;in_G02a)),c_gen_cap,0)</f>
        <v>0</v>
      </c>
      <c r="L117" s="52" t="n">
        <f aca="false">IF(OR(L$3=0,AND(MOD(L$3,in_E20)=0,L$3&lt;in_G02a)),c_gen_cap,0)</f>
        <v>0</v>
      </c>
      <c r="M117" s="52" t="n">
        <f aca="false">IF(OR(M$3=0,AND(MOD(M$3,in_E20)=0,M$3&lt;in_G02a)),c_gen_cap,0)</f>
        <v>0</v>
      </c>
      <c r="N117" s="52" t="n">
        <f aca="false">IF(OR(N$3=0,AND(MOD(N$3,in_E20)=0,N$3&lt;in_G02a)),c_gen_cap,0)</f>
        <v>0</v>
      </c>
      <c r="O117" s="52" t="n">
        <f aca="false">IF(OR(O$3=0,AND(MOD(O$3,in_E20)=0,O$3&lt;in_G02a)),c_gen_cap,0)</f>
        <v>0</v>
      </c>
      <c r="P117" s="52" t="n">
        <f aca="false">IF(OR(P$3=0,AND(MOD(P$3,in_E20)=0,P$3&lt;in_G02a)),c_gen_cap,0)</f>
        <v>16192.8</v>
      </c>
      <c r="Q117" s="52" t="n">
        <f aca="false">IF(OR(Q$3=0,AND(MOD(Q$3,in_E20)=0,Q$3&lt;in_G02a)),c_gen_cap,0)</f>
        <v>0</v>
      </c>
      <c r="R117" s="52" t="n">
        <f aca="false">IF(OR(R$3=0,AND(MOD(R$3,in_E20)=0,R$3&lt;in_G02a)),c_gen_cap,0)</f>
        <v>0</v>
      </c>
      <c r="S117" s="52" t="n">
        <f aca="false">IF(OR(S$3=0,AND(MOD(S$3,in_E20)=0,S$3&lt;in_G02a)),c_gen_cap,0)</f>
        <v>0</v>
      </c>
      <c r="T117" s="52" t="n">
        <f aca="false">IF(OR(T$3=0,AND(MOD(T$3,in_E20)=0,T$3&lt;in_G02a)),c_gen_cap,0)</f>
        <v>0</v>
      </c>
      <c r="U117" s="52" t="n">
        <f aca="false">IF(OR(U$3=0,AND(MOD(U$3,in_E20)=0,U$3&lt;in_G02a)),c_gen_cap,0)</f>
        <v>0</v>
      </c>
      <c r="V117" s="52" t="n">
        <f aca="false">IF(OR(V$3=0,AND(MOD(V$3,in_E20)=0,V$3&lt;in_G02a)),c_gen_cap,0)</f>
        <v>0</v>
      </c>
      <c r="W117" s="52" t="n">
        <f aca="false">IF(OR(W$3=0,AND(MOD(W$3,in_E20)=0,W$3&lt;in_G02a)),c_gen_cap,0)</f>
        <v>0</v>
      </c>
      <c r="X117" s="52" t="n">
        <f aca="false">IF(OR(X$3=0,AND(MOD(X$3,in_E20)=0,X$3&lt;in_G02a)),c_gen_cap,0)</f>
        <v>0</v>
      </c>
      <c r="Y117" s="52" t="n">
        <f aca="false">IF(OR(Y$3=0,AND(MOD(Y$3,in_E20)=0,Y$3&lt;in_G02a)),c_gen_cap,0)</f>
        <v>0</v>
      </c>
      <c r="Z117" s="52" t="n">
        <f aca="false">IF(OR(Z$3=0,AND(MOD(Z$3,in_E20)=0,Z$3&lt;in_G02a)),c_gen_cap,0)</f>
        <v>0</v>
      </c>
      <c r="AA117" s="52" t="n">
        <f aca="false">IF(OR(AA$3=0,AND(MOD(AA$3,in_E20)=0,AA$3&lt;in_G02a)),c_gen_cap,0)</f>
        <v>0</v>
      </c>
      <c r="AB117" s="52" t="n">
        <f aca="false">IF(OR(AB$3=0,AND(MOD(AB$3,in_E20)=0,AB$3&lt;in_G02a)),c_gen_cap,0)</f>
        <v>0</v>
      </c>
      <c r="AC117" s="52" t="n">
        <f aca="false">IF(OR(AC$3=0,AND(MOD(AC$3,in_E20)=0,AC$3&lt;in_G02a)),c_gen_cap,0)</f>
        <v>0</v>
      </c>
      <c r="AD117" s="52" t="n">
        <f aca="false">IF(OR(AD$3=0,AND(MOD(AD$3,in_E20)=0,AD$3&lt;in_G02a)),c_gen_cap,0)</f>
        <v>0</v>
      </c>
      <c r="AE117" s="52" t="n">
        <f aca="false">IF(OR(AE$3=0,AND(MOD(AE$3,in_E20)=0,AE$3&lt;in_G02a)),c_gen_cap,0)</f>
        <v>0</v>
      </c>
      <c r="AF117" s="52" t="n">
        <f aca="false">IF(OR(AF$3=0,AND(MOD(AF$3,in_E20)=0,AF$3&lt;in_G02a)),c_gen_cap,0)</f>
        <v>0</v>
      </c>
      <c r="AG117" s="52" t="n">
        <f aca="false">IF(OR(AG$3=0,AND(MOD(AG$3,in_E20)=0,AG$3&lt;in_G02a)),c_gen_cap,0)</f>
        <v>0</v>
      </c>
      <c r="AH117" s="52" t="n">
        <f aca="false">IF(OR(AH$3=0,AND(MOD(AH$3,in_E20)=0,AH$3&lt;in_G02a)),c_gen_cap,0)</f>
        <v>0</v>
      </c>
    </row>
    <row r="118" customFormat="false" ht="15" hidden="false" customHeight="true" outlineLevel="0" collapsed="false">
      <c r="A118" s="33" t="s">
        <v>1406</v>
      </c>
      <c r="D118" s="52" t="n">
        <f aca="false">0</f>
        <v>0</v>
      </c>
      <c r="E118" s="52" t="n">
        <f aca="false">0</f>
        <v>0</v>
      </c>
      <c r="F118" s="52" t="n">
        <f aca="false">0</f>
        <v>0</v>
      </c>
      <c r="G118" s="52" t="n">
        <f aca="false">0</f>
        <v>0</v>
      </c>
      <c r="H118" s="52" t="n">
        <f aca="false">0</f>
        <v>0</v>
      </c>
      <c r="I118" s="52" t="n">
        <f aca="false">0</f>
        <v>0</v>
      </c>
      <c r="J118" s="52" t="n">
        <f aca="false">0</f>
        <v>0</v>
      </c>
      <c r="K118" s="52" t="n">
        <f aca="false">0</f>
        <v>0</v>
      </c>
      <c r="L118" s="52" t="n">
        <f aca="false">0</f>
        <v>0</v>
      </c>
      <c r="M118" s="52" t="n">
        <f aca="false">0</f>
        <v>0</v>
      </c>
      <c r="N118" s="52" t="n">
        <f aca="false">0</f>
        <v>0</v>
      </c>
      <c r="O118" s="52" t="n">
        <f aca="false">0</f>
        <v>0</v>
      </c>
      <c r="P118" s="52" t="n">
        <f aca="false">0</f>
        <v>0</v>
      </c>
      <c r="Q118" s="52" t="n">
        <f aca="false">0</f>
        <v>0</v>
      </c>
      <c r="R118" s="52" t="n">
        <f aca="false">0</f>
        <v>0</v>
      </c>
      <c r="S118" s="52" t="n">
        <f aca="false">0</f>
        <v>0</v>
      </c>
      <c r="T118" s="52" t="n">
        <f aca="false">0</f>
        <v>0</v>
      </c>
      <c r="U118" s="52" t="n">
        <f aca="false">0</f>
        <v>0</v>
      </c>
      <c r="V118" s="52" t="n">
        <f aca="false">0</f>
        <v>0</v>
      </c>
      <c r="W118" s="52" t="n">
        <f aca="false">0</f>
        <v>0</v>
      </c>
      <c r="X118" s="52" t="n">
        <f aca="false">0</f>
        <v>0</v>
      </c>
      <c r="Y118" s="52" t="n">
        <f aca="false">0</f>
        <v>0</v>
      </c>
      <c r="Z118" s="52" t="n">
        <f aca="false">0</f>
        <v>0</v>
      </c>
      <c r="AA118" s="52" t="n">
        <f aca="false">0</f>
        <v>0</v>
      </c>
      <c r="AB118" s="52" t="n">
        <f aca="false">0</f>
        <v>0</v>
      </c>
      <c r="AC118" s="52" t="n">
        <f aca="false">0</f>
        <v>0</v>
      </c>
      <c r="AD118" s="52" t="n">
        <f aca="false">0</f>
        <v>0</v>
      </c>
      <c r="AE118" s="52" t="n">
        <f aca="false">0</f>
        <v>0</v>
      </c>
      <c r="AF118" s="52" t="n">
        <f aca="false">0</f>
        <v>0</v>
      </c>
      <c r="AG118" s="52" t="n">
        <f aca="false">0</f>
        <v>0</v>
      </c>
      <c r="AH118" s="52" t="n">
        <f aca="false">0</f>
        <v>0</v>
      </c>
    </row>
    <row r="119" customFormat="false" ht="15" hidden="false" customHeight="true" outlineLevel="0" collapsed="false">
      <c r="A119" s="33" t="s">
        <v>1407</v>
      </c>
      <c r="D119" s="52" t="n">
        <f aca="false">IF(D$3=0,0,c_gen_avoid)</f>
        <v>0</v>
      </c>
      <c r="E119" s="52" t="n">
        <f aca="false">IF(E$3=0,0,c_gen_avoid)</f>
        <v>26170.3330239958</v>
      </c>
      <c r="F119" s="52" t="n">
        <f aca="false">IF(F$3=0,0,c_gen_avoid)</f>
        <v>26170.3330239958</v>
      </c>
      <c r="G119" s="52" t="n">
        <f aca="false">IF(G$3=0,0,c_gen_avoid)</f>
        <v>26170.3330239958</v>
      </c>
      <c r="H119" s="52" t="n">
        <f aca="false">IF(H$3=0,0,c_gen_avoid)</f>
        <v>26170.3330239958</v>
      </c>
      <c r="I119" s="52" t="n">
        <f aca="false">IF(I$3=0,0,c_gen_avoid)</f>
        <v>26170.3330239958</v>
      </c>
      <c r="J119" s="52" t="n">
        <f aca="false">IF(J$3=0,0,c_gen_avoid)</f>
        <v>26170.3330239958</v>
      </c>
      <c r="K119" s="52" t="n">
        <f aca="false">IF(K$3=0,0,c_gen_avoid)</f>
        <v>26170.3330239958</v>
      </c>
      <c r="L119" s="52" t="n">
        <f aca="false">IF(L$3=0,0,c_gen_avoid)</f>
        <v>26170.3330239958</v>
      </c>
      <c r="M119" s="52" t="n">
        <f aca="false">IF(M$3=0,0,c_gen_avoid)</f>
        <v>26170.3330239958</v>
      </c>
      <c r="N119" s="52" t="n">
        <f aca="false">IF(N$3=0,0,c_gen_avoid)</f>
        <v>26170.3330239958</v>
      </c>
      <c r="O119" s="52" t="n">
        <f aca="false">IF(O$3=0,0,c_gen_avoid)</f>
        <v>26170.3330239958</v>
      </c>
      <c r="P119" s="52" t="n">
        <f aca="false">IF(P$3=0,0,c_gen_avoid)</f>
        <v>26170.3330239958</v>
      </c>
      <c r="Q119" s="52" t="n">
        <f aca="false">IF(Q$3=0,0,c_gen_avoid)</f>
        <v>26170.3330239958</v>
      </c>
      <c r="R119" s="52" t="n">
        <f aca="false">IF(R$3=0,0,c_gen_avoid)</f>
        <v>26170.3330239958</v>
      </c>
      <c r="S119" s="52" t="n">
        <f aca="false">IF(S$3=0,0,c_gen_avoid)</f>
        <v>26170.3330239958</v>
      </c>
      <c r="T119" s="52" t="n">
        <f aca="false">IF(T$3=0,0,c_gen_avoid)</f>
        <v>26170.3330239958</v>
      </c>
      <c r="U119" s="52" t="n">
        <f aca="false">IF(U$3=0,0,c_gen_avoid)</f>
        <v>26170.3330239958</v>
      </c>
      <c r="V119" s="52" t="n">
        <f aca="false">IF(V$3=0,0,c_gen_avoid)</f>
        <v>26170.3330239958</v>
      </c>
      <c r="W119" s="52" t="n">
        <f aca="false">IF(W$3=0,0,c_gen_avoid)</f>
        <v>26170.3330239958</v>
      </c>
      <c r="X119" s="52" t="n">
        <f aca="false">IF(X$3=0,0,c_gen_avoid)</f>
        <v>26170.3330239958</v>
      </c>
      <c r="Y119" s="52" t="n">
        <f aca="false">IF(Y$3=0,0,c_gen_avoid)</f>
        <v>26170.3330239958</v>
      </c>
      <c r="Z119" s="52" t="n">
        <f aca="false">IF(Z$3=0,0,c_gen_avoid)</f>
        <v>26170.3330239958</v>
      </c>
      <c r="AA119" s="52" t="n">
        <f aca="false">IF(AA$3=0,0,c_gen_avoid)</f>
        <v>26170.3330239958</v>
      </c>
      <c r="AB119" s="52" t="n">
        <f aca="false">IF(AB$3=0,0,c_gen_avoid)</f>
        <v>26170.3330239958</v>
      </c>
      <c r="AC119" s="52" t="n">
        <f aca="false">IF(AC$3=0,0,c_gen_avoid)</f>
        <v>26170.3330239958</v>
      </c>
      <c r="AD119" s="52" t="n">
        <f aca="false">IF(AD$3=0,0,c_gen_avoid)</f>
        <v>26170.3330239958</v>
      </c>
      <c r="AE119" s="52" t="n">
        <f aca="false">IF(AE$3=0,0,c_gen_avoid)</f>
        <v>26170.3330239958</v>
      </c>
      <c r="AF119" s="52" t="n">
        <f aca="false">IF(AF$3=0,0,c_gen_avoid)</f>
        <v>26170.3330239958</v>
      </c>
      <c r="AG119" s="52" t="n">
        <f aca="false">IF(AG$3=0,0,c_gen_avoid)</f>
        <v>26170.3330239958</v>
      </c>
      <c r="AH119" s="52" t="n">
        <f aca="false">IF(AH$3=0,0,c_gen_avoid)</f>
        <v>26170.3330239958</v>
      </c>
    </row>
    <row r="120" customFormat="false" ht="15" hidden="false" customHeight="true" outlineLevel="0" collapsed="false">
      <c r="A120" s="33" t="s">
        <v>1408</v>
      </c>
      <c r="D120" s="52" t="n">
        <f aca="false">IF(D$3=0,0,c_gen_fuel+in_E21*c_gen_cap)</f>
        <v>0</v>
      </c>
      <c r="E120" s="52" t="n">
        <f aca="false">IF(E$3=0,0,c_gen_fuel+in_E21*c_gen_cap)</f>
        <v>2624.70849315069</v>
      </c>
      <c r="F120" s="52" t="n">
        <f aca="false">IF(F$3=0,0,c_gen_fuel+in_E21*c_gen_cap)</f>
        <v>2624.70849315069</v>
      </c>
      <c r="G120" s="52" t="n">
        <f aca="false">IF(G$3=0,0,c_gen_fuel+in_E21*c_gen_cap)</f>
        <v>2624.70849315069</v>
      </c>
      <c r="H120" s="52" t="n">
        <f aca="false">IF(H$3=0,0,c_gen_fuel+in_E21*c_gen_cap)</f>
        <v>2624.70849315069</v>
      </c>
      <c r="I120" s="52" t="n">
        <f aca="false">IF(I$3=0,0,c_gen_fuel+in_E21*c_gen_cap)</f>
        <v>2624.70849315069</v>
      </c>
      <c r="J120" s="52" t="n">
        <f aca="false">IF(J$3=0,0,c_gen_fuel+in_E21*c_gen_cap)</f>
        <v>2624.70849315069</v>
      </c>
      <c r="K120" s="52" t="n">
        <f aca="false">IF(K$3=0,0,c_gen_fuel+in_E21*c_gen_cap)</f>
        <v>2624.70849315069</v>
      </c>
      <c r="L120" s="52" t="n">
        <f aca="false">IF(L$3=0,0,c_gen_fuel+in_E21*c_gen_cap)</f>
        <v>2624.70849315069</v>
      </c>
      <c r="M120" s="52" t="n">
        <f aca="false">IF(M$3=0,0,c_gen_fuel+in_E21*c_gen_cap)</f>
        <v>2624.70849315069</v>
      </c>
      <c r="N120" s="52" t="n">
        <f aca="false">IF(N$3=0,0,c_gen_fuel+in_E21*c_gen_cap)</f>
        <v>2624.70849315069</v>
      </c>
      <c r="O120" s="52" t="n">
        <f aca="false">IF(O$3=0,0,c_gen_fuel+in_E21*c_gen_cap)</f>
        <v>2624.70849315069</v>
      </c>
      <c r="P120" s="52" t="n">
        <f aca="false">IF(P$3=0,0,c_gen_fuel+in_E21*c_gen_cap)</f>
        <v>2624.70849315069</v>
      </c>
      <c r="Q120" s="52" t="n">
        <f aca="false">IF(Q$3=0,0,c_gen_fuel+in_E21*c_gen_cap)</f>
        <v>2624.70849315069</v>
      </c>
      <c r="R120" s="52" t="n">
        <f aca="false">IF(R$3=0,0,c_gen_fuel+in_E21*c_gen_cap)</f>
        <v>2624.70849315069</v>
      </c>
      <c r="S120" s="52" t="n">
        <f aca="false">IF(S$3=0,0,c_gen_fuel+in_E21*c_gen_cap)</f>
        <v>2624.70849315069</v>
      </c>
      <c r="T120" s="52" t="n">
        <f aca="false">IF(T$3=0,0,c_gen_fuel+in_E21*c_gen_cap)</f>
        <v>2624.70849315069</v>
      </c>
      <c r="U120" s="52" t="n">
        <f aca="false">IF(U$3=0,0,c_gen_fuel+in_E21*c_gen_cap)</f>
        <v>2624.70849315069</v>
      </c>
      <c r="V120" s="52" t="n">
        <f aca="false">IF(V$3=0,0,c_gen_fuel+in_E21*c_gen_cap)</f>
        <v>2624.70849315069</v>
      </c>
      <c r="W120" s="52" t="n">
        <f aca="false">IF(W$3=0,0,c_gen_fuel+in_E21*c_gen_cap)</f>
        <v>2624.70849315069</v>
      </c>
      <c r="X120" s="52" t="n">
        <f aca="false">IF(X$3=0,0,c_gen_fuel+in_E21*c_gen_cap)</f>
        <v>2624.70849315069</v>
      </c>
      <c r="Y120" s="52" t="n">
        <f aca="false">IF(Y$3=0,0,c_gen_fuel+in_E21*c_gen_cap)</f>
        <v>2624.70849315069</v>
      </c>
      <c r="Z120" s="52" t="n">
        <f aca="false">IF(Z$3=0,0,c_gen_fuel+in_E21*c_gen_cap)</f>
        <v>2624.70849315069</v>
      </c>
      <c r="AA120" s="52" t="n">
        <f aca="false">IF(AA$3=0,0,c_gen_fuel+in_E21*c_gen_cap)</f>
        <v>2624.70849315069</v>
      </c>
      <c r="AB120" s="52" t="n">
        <f aca="false">IF(AB$3=0,0,c_gen_fuel+in_E21*c_gen_cap)</f>
        <v>2624.70849315069</v>
      </c>
      <c r="AC120" s="52" t="n">
        <f aca="false">IF(AC$3=0,0,c_gen_fuel+in_E21*c_gen_cap)</f>
        <v>2624.70849315069</v>
      </c>
      <c r="AD120" s="52" t="n">
        <f aca="false">IF(AD$3=0,0,c_gen_fuel+in_E21*c_gen_cap)</f>
        <v>2624.70849315069</v>
      </c>
      <c r="AE120" s="52" t="n">
        <f aca="false">IF(AE$3=0,0,c_gen_fuel+in_E21*c_gen_cap)</f>
        <v>2624.70849315069</v>
      </c>
      <c r="AF120" s="52" t="n">
        <f aca="false">IF(AF$3=0,0,c_gen_fuel+in_E21*c_gen_cap)</f>
        <v>2624.70849315069</v>
      </c>
      <c r="AG120" s="52" t="n">
        <f aca="false">IF(AG$3=0,0,c_gen_fuel+in_E21*c_gen_cap)</f>
        <v>2624.70849315069</v>
      </c>
      <c r="AH120" s="52" t="n">
        <f aca="false">IF(AH$3=0,0,c_gen_fuel+in_E21*c_gen_cap)</f>
        <v>2624.70849315069</v>
      </c>
    </row>
    <row r="121" customFormat="false" ht="15" hidden="false" customHeight="true" outlineLevel="0" collapsed="false">
      <c r="A121" s="33" t="s">
        <v>1409</v>
      </c>
      <c r="D121" s="52" t="n">
        <f aca="false">D118+D119-D120</f>
        <v>0</v>
      </c>
      <c r="E121" s="52" t="n">
        <f aca="false">E118+E119-E120</f>
        <v>23545.6245308451</v>
      </c>
      <c r="F121" s="52" t="n">
        <f aca="false">F118+F119-F120</f>
        <v>23545.6245308451</v>
      </c>
      <c r="G121" s="52" t="n">
        <f aca="false">G118+G119-G120</f>
        <v>23545.6245308451</v>
      </c>
      <c r="H121" s="52" t="n">
        <f aca="false">H118+H119-H120</f>
        <v>23545.6245308451</v>
      </c>
      <c r="I121" s="52" t="n">
        <f aca="false">I118+I119-I120</f>
        <v>23545.6245308451</v>
      </c>
      <c r="J121" s="52" t="n">
        <f aca="false">J118+J119-J120</f>
        <v>23545.6245308451</v>
      </c>
      <c r="K121" s="52" t="n">
        <f aca="false">K118+K119-K120</f>
        <v>23545.6245308451</v>
      </c>
      <c r="L121" s="52" t="n">
        <f aca="false">L118+L119-L120</f>
        <v>23545.6245308451</v>
      </c>
      <c r="M121" s="52" t="n">
        <f aca="false">M118+M119-M120</f>
        <v>23545.6245308451</v>
      </c>
      <c r="N121" s="52" t="n">
        <f aca="false">N118+N119-N120</f>
        <v>23545.6245308451</v>
      </c>
      <c r="O121" s="52" t="n">
        <f aca="false">O118+O119-O120</f>
        <v>23545.6245308451</v>
      </c>
      <c r="P121" s="52" t="n">
        <f aca="false">P118+P119-P120</f>
        <v>23545.6245308451</v>
      </c>
      <c r="Q121" s="52" t="n">
        <f aca="false">Q118+Q119-Q120</f>
        <v>23545.6245308451</v>
      </c>
      <c r="R121" s="52" t="n">
        <f aca="false">R118+R119-R120</f>
        <v>23545.6245308451</v>
      </c>
      <c r="S121" s="52" t="n">
        <f aca="false">S118+S119-S120</f>
        <v>23545.6245308451</v>
      </c>
      <c r="T121" s="52" t="n">
        <f aca="false">T118+T119-T120</f>
        <v>23545.6245308451</v>
      </c>
      <c r="U121" s="52" t="n">
        <f aca="false">U118+U119-U120</f>
        <v>23545.6245308451</v>
      </c>
      <c r="V121" s="52" t="n">
        <f aca="false">V118+V119-V120</f>
        <v>23545.6245308451</v>
      </c>
      <c r="W121" s="52" t="n">
        <f aca="false">W118+W119-W120</f>
        <v>23545.6245308451</v>
      </c>
      <c r="X121" s="52" t="n">
        <f aca="false">X118+X119-X120</f>
        <v>23545.6245308451</v>
      </c>
      <c r="Y121" s="52" t="n">
        <f aca="false">Y118+Y119-Y120</f>
        <v>23545.6245308451</v>
      </c>
      <c r="Z121" s="52" t="n">
        <f aca="false">Z118+Z119-Z120</f>
        <v>23545.6245308451</v>
      </c>
      <c r="AA121" s="52" t="n">
        <f aca="false">AA118+AA119-AA120</f>
        <v>23545.6245308451</v>
      </c>
      <c r="AB121" s="52" t="n">
        <f aca="false">AB118+AB119-AB120</f>
        <v>23545.6245308451</v>
      </c>
      <c r="AC121" s="52" t="n">
        <f aca="false">AC118+AC119-AC120</f>
        <v>23545.6245308451</v>
      </c>
      <c r="AD121" s="52" t="n">
        <f aca="false">AD118+AD119-AD120</f>
        <v>23545.6245308451</v>
      </c>
      <c r="AE121" s="52" t="n">
        <f aca="false">AE118+AE119-AE120</f>
        <v>23545.6245308451</v>
      </c>
      <c r="AF121" s="52" t="n">
        <f aca="false">AF118+AF119-AF120</f>
        <v>23545.6245308451</v>
      </c>
      <c r="AG121" s="52" t="n">
        <f aca="false">AG118+AG119-AG120</f>
        <v>23545.6245308451</v>
      </c>
      <c r="AH121" s="52" t="n">
        <f aca="false">AH118+AH119-AH120</f>
        <v>23545.6245308451</v>
      </c>
    </row>
    <row r="122" customFormat="false" ht="15" hidden="false" customHeight="true" outlineLevel="0" collapsed="false">
      <c r="A122" s="33" t="s">
        <v>1410</v>
      </c>
      <c r="D122" s="52" t="n">
        <f aca="false">D$4*MAX(0,D121)</f>
        <v>0</v>
      </c>
      <c r="E122" s="52" t="n">
        <f aca="false">E$4*MAX(0,E121)</f>
        <v>0</v>
      </c>
      <c r="F122" s="52" t="n">
        <f aca="false">F$4*MAX(0,F121)</f>
        <v>0</v>
      </c>
      <c r="G122" s="52" t="n">
        <f aca="false">G$4*MAX(0,G121)</f>
        <v>0</v>
      </c>
      <c r="H122" s="52" t="n">
        <f aca="false">H$4*MAX(0,H121)</f>
        <v>0</v>
      </c>
      <c r="I122" s="52" t="n">
        <f aca="false">I$4*MAX(0,I121)</f>
        <v>0</v>
      </c>
      <c r="J122" s="52" t="n">
        <f aca="false">J$4*MAX(0,J121)</f>
        <v>0</v>
      </c>
      <c r="K122" s="52" t="n">
        <f aca="false">K$4*MAX(0,K121)</f>
        <v>0</v>
      </c>
      <c r="L122" s="52" t="n">
        <f aca="false">L$4*MAX(0,L121)</f>
        <v>0</v>
      </c>
      <c r="M122" s="52" t="n">
        <f aca="false">M$4*MAX(0,M121)</f>
        <v>0</v>
      </c>
      <c r="N122" s="52" t="n">
        <f aca="false">N$4*MAX(0,N121)</f>
        <v>0</v>
      </c>
      <c r="O122" s="52" t="n">
        <f aca="false">O$4*MAX(0,O121)</f>
        <v>3885.02804758945</v>
      </c>
      <c r="P122" s="52" t="n">
        <f aca="false">P$4*MAX(0,P121)</f>
        <v>3885.02804758945</v>
      </c>
      <c r="Q122" s="52" t="n">
        <f aca="false">Q$4*MAX(0,Q121)</f>
        <v>3885.02804758945</v>
      </c>
      <c r="R122" s="52" t="n">
        <f aca="false">R$4*MAX(0,R121)</f>
        <v>3885.02804758945</v>
      </c>
      <c r="S122" s="52" t="n">
        <f aca="false">S$4*MAX(0,S121)</f>
        <v>3885.02804758945</v>
      </c>
      <c r="T122" s="52" t="n">
        <f aca="false">T$4*MAX(0,T121)</f>
        <v>3885.02804758945</v>
      </c>
      <c r="U122" s="52" t="n">
        <f aca="false">U$4*MAX(0,U121)</f>
        <v>3885.02804758945</v>
      </c>
      <c r="V122" s="52" t="n">
        <f aca="false">V$4*MAX(0,V121)</f>
        <v>3885.02804758945</v>
      </c>
      <c r="W122" s="52" t="n">
        <f aca="false">W$4*MAX(0,W121)</f>
        <v>3885.02804758945</v>
      </c>
      <c r="X122" s="52" t="n">
        <f aca="false">X$4*MAX(0,X121)</f>
        <v>3885.02804758945</v>
      </c>
      <c r="Y122" s="52" t="n">
        <f aca="false">Y$4*MAX(0,Y121)</f>
        <v>3885.02804758945</v>
      </c>
      <c r="Z122" s="52" t="n">
        <f aca="false">Z$4*MAX(0,Z121)</f>
        <v>3885.02804758945</v>
      </c>
      <c r="AA122" s="52" t="n">
        <f aca="false">AA$4*MAX(0,AA121)</f>
        <v>3885.02804758945</v>
      </c>
      <c r="AB122" s="52" t="n">
        <f aca="false">AB$4*MAX(0,AB121)</f>
        <v>3885.02804758945</v>
      </c>
      <c r="AC122" s="52" t="n">
        <f aca="false">AC$4*MAX(0,AC121)</f>
        <v>3885.02804758945</v>
      </c>
      <c r="AD122" s="52" t="n">
        <f aca="false">AD$4*MAX(0,AD121)</f>
        <v>3885.02804758945</v>
      </c>
      <c r="AE122" s="52" t="n">
        <f aca="false">AE$4*MAX(0,AE121)</f>
        <v>3885.02804758945</v>
      </c>
      <c r="AF122" s="52" t="n">
        <f aca="false">AF$4*MAX(0,AF121)</f>
        <v>3885.02804758945</v>
      </c>
      <c r="AG122" s="52" t="n">
        <f aca="false">AG$4*MAX(0,AG121)</f>
        <v>3885.02804758945</v>
      </c>
      <c r="AH122" s="52" t="n">
        <f aca="false">AH$4*MAX(0,AH121)</f>
        <v>3885.02804758945</v>
      </c>
    </row>
    <row r="123" customFormat="false" ht="15" hidden="false" customHeight="true" outlineLevel="0" collapsed="false">
      <c r="A123" s="33" t="s">
        <v>1411</v>
      </c>
      <c r="C123" s="55" t="n">
        <f aca="false">SUMPRODUCT(D123:AH123,D$5:AH$5)</f>
        <v>139263.339968661</v>
      </c>
      <c r="D123" s="55" t="n">
        <f aca="false">(D121-D117-D122)*D116</f>
        <v>-16192.8</v>
      </c>
      <c r="E123" s="55" t="n">
        <f aca="false">(E121-E117-E122)*E116</f>
        <v>23545.6245308451</v>
      </c>
      <c r="F123" s="55" t="n">
        <f aca="false">(F121-F117-F122)*F116</f>
        <v>23545.6245308451</v>
      </c>
      <c r="G123" s="55" t="n">
        <f aca="false">(G121-G117-G122)*G116</f>
        <v>23545.6245308451</v>
      </c>
      <c r="H123" s="55" t="n">
        <f aca="false">(H121-H117-H122)*H116</f>
        <v>23545.6245308451</v>
      </c>
      <c r="I123" s="55" t="n">
        <f aca="false">(I121-I117-I122)*I116</f>
        <v>23545.6245308451</v>
      </c>
      <c r="J123" s="55" t="n">
        <f aca="false">(J121-J117-J122)*J116</f>
        <v>23545.6245308451</v>
      </c>
      <c r="K123" s="55" t="n">
        <f aca="false">(K121-K117-K122)*K116</f>
        <v>23545.6245308451</v>
      </c>
      <c r="L123" s="55" t="n">
        <f aca="false">(L121-L117-L122)*L116</f>
        <v>23545.6245308451</v>
      </c>
      <c r="M123" s="55" t="n">
        <f aca="false">(M121-M117-M122)*M116</f>
        <v>23545.6245308451</v>
      </c>
      <c r="N123" s="55" t="n">
        <f aca="false">(N121-N117-N122)*N116</f>
        <v>23545.6245308451</v>
      </c>
      <c r="O123" s="55" t="n">
        <f aca="false">(O121-O117-O122)*O116</f>
        <v>19660.5964832557</v>
      </c>
      <c r="P123" s="55" t="n">
        <f aca="false">(P121-P117-P122)*P116</f>
        <v>3467.7964832557</v>
      </c>
      <c r="Q123" s="55" t="n">
        <f aca="false">(Q121-Q117-Q122)*Q116</f>
        <v>19660.5964832557</v>
      </c>
      <c r="R123" s="55" t="n">
        <f aca="false">(R121-R117-R122)*R116</f>
        <v>19660.5964832557</v>
      </c>
      <c r="S123" s="55" t="n">
        <f aca="false">(S121-S117-S122)*S116</f>
        <v>19660.5964832557</v>
      </c>
      <c r="T123" s="55" t="n">
        <f aca="false">(T121-T117-T122)*T116</f>
        <v>19660.5964832557</v>
      </c>
      <c r="U123" s="55" t="n">
        <f aca="false">(U121-U117-U122)*U116</f>
        <v>19660.5964832557</v>
      </c>
      <c r="V123" s="55" t="n">
        <f aca="false">(V121-V117-V122)*V116</f>
        <v>19660.5964832557</v>
      </c>
      <c r="W123" s="55" t="n">
        <f aca="false">(W121-W117-W122)*W116</f>
        <v>19660.5964832557</v>
      </c>
      <c r="X123" s="55" t="n">
        <f aca="false">(X121-X117-X122)*X116</f>
        <v>19660.5964832557</v>
      </c>
      <c r="Y123" s="55" t="n">
        <f aca="false">(Y121-Y117-Y122)*Y116</f>
        <v>0</v>
      </c>
      <c r="Z123" s="55" t="n">
        <f aca="false">(Z121-Z117-Z122)*Z116</f>
        <v>0</v>
      </c>
      <c r="AA123" s="55" t="n">
        <f aca="false">(AA121-AA117-AA122)*AA116</f>
        <v>0</v>
      </c>
      <c r="AB123" s="55" t="n">
        <f aca="false">(AB121-AB117-AB122)*AB116</f>
        <v>0</v>
      </c>
      <c r="AC123" s="55" t="n">
        <f aca="false">(AC121-AC117-AC122)*AC116</f>
        <v>0</v>
      </c>
      <c r="AD123" s="55" t="n">
        <f aca="false">(AD121-AD117-AD122)*AD116</f>
        <v>0</v>
      </c>
      <c r="AE123" s="55" t="n">
        <f aca="false">(AE121-AE117-AE122)*AE116</f>
        <v>0</v>
      </c>
      <c r="AF123" s="55" t="n">
        <f aca="false">(AF121-AF117-AF122)*AF116</f>
        <v>0</v>
      </c>
      <c r="AG123" s="55" t="n">
        <f aca="false">(AG121-AG117-AG122)*AG116</f>
        <v>0</v>
      </c>
      <c r="AH123" s="55" t="n">
        <f aca="false">(AH121-AH117-AH122)*AH116</f>
        <v>0</v>
      </c>
    </row>
    <row r="124" customFormat="false" ht="15" hidden="false" customHeight="true" outlineLevel="0" collapsed="false">
      <c r="A124" s="33" t="s">
        <v>1412</v>
      </c>
      <c r="C124" s="46" t="n">
        <f aca="false">SUMPRODUCT(D124:AH124,D$5:AH$5)</f>
        <v>0</v>
      </c>
      <c r="D124" s="52" t="n">
        <f aca="false">0</f>
        <v>0</v>
      </c>
      <c r="E124" s="52" t="n">
        <f aca="false">0</f>
        <v>0</v>
      </c>
      <c r="F124" s="52" t="n">
        <f aca="false">0</f>
        <v>0</v>
      </c>
      <c r="G124" s="52" t="n">
        <f aca="false">0</f>
        <v>0</v>
      </c>
      <c r="H124" s="52" t="n">
        <f aca="false">0</f>
        <v>0</v>
      </c>
      <c r="I124" s="52" t="n">
        <f aca="false">0</f>
        <v>0</v>
      </c>
      <c r="J124" s="52" t="n">
        <f aca="false">0</f>
        <v>0</v>
      </c>
      <c r="K124" s="52" t="n">
        <f aca="false">0</f>
        <v>0</v>
      </c>
      <c r="L124" s="52" t="n">
        <f aca="false">0</f>
        <v>0</v>
      </c>
      <c r="M124" s="52" t="n">
        <f aca="false">0</f>
        <v>0</v>
      </c>
      <c r="N124" s="52" t="n">
        <f aca="false">0</f>
        <v>0</v>
      </c>
      <c r="O124" s="52" t="n">
        <f aca="false">0</f>
        <v>0</v>
      </c>
      <c r="P124" s="52" t="n">
        <f aca="false">0</f>
        <v>0</v>
      </c>
      <c r="Q124" s="52" t="n">
        <f aca="false">0</f>
        <v>0</v>
      </c>
      <c r="R124" s="52" t="n">
        <f aca="false">0</f>
        <v>0</v>
      </c>
      <c r="S124" s="52" t="n">
        <f aca="false">0</f>
        <v>0</v>
      </c>
      <c r="T124" s="52" t="n">
        <f aca="false">0</f>
        <v>0</v>
      </c>
      <c r="U124" s="52" t="n">
        <f aca="false">0</f>
        <v>0</v>
      </c>
      <c r="V124" s="52" t="n">
        <f aca="false">0</f>
        <v>0</v>
      </c>
      <c r="W124" s="52" t="n">
        <f aca="false">0</f>
        <v>0</v>
      </c>
      <c r="X124" s="52" t="n">
        <f aca="false">0</f>
        <v>0</v>
      </c>
      <c r="Y124" s="52" t="n">
        <f aca="false">0</f>
        <v>0</v>
      </c>
      <c r="Z124" s="52" t="n">
        <f aca="false">0</f>
        <v>0</v>
      </c>
      <c r="AA124" s="52" t="n">
        <f aca="false">0</f>
        <v>0</v>
      </c>
      <c r="AB124" s="52" t="n">
        <f aca="false">0</f>
        <v>0</v>
      </c>
      <c r="AC124" s="52" t="n">
        <f aca="false">0</f>
        <v>0</v>
      </c>
      <c r="AD124" s="52" t="n">
        <f aca="false">0</f>
        <v>0</v>
      </c>
      <c r="AE124" s="52" t="n">
        <f aca="false">0</f>
        <v>0</v>
      </c>
      <c r="AF124" s="52" t="n">
        <f aca="false">0</f>
        <v>0</v>
      </c>
      <c r="AG124" s="52" t="n">
        <f aca="false">0</f>
        <v>0</v>
      </c>
      <c r="AH124" s="52" t="n">
        <f aca="false">0</f>
        <v>0</v>
      </c>
    </row>
    <row r="125" customFormat="false" ht="15" hidden="false" customHeight="true" outlineLevel="0" collapsed="false">
      <c r="A125" s="33" t="s">
        <v>1413</v>
      </c>
      <c r="C125" s="46" t="n">
        <f aca="false">SUMPRODUCT(D125:AH125,D$5:AH$5)</f>
        <v>0</v>
      </c>
      <c r="D125" s="52" t="n">
        <f aca="false">D118*D116</f>
        <v>0</v>
      </c>
      <c r="E125" s="52" t="n">
        <f aca="false">E118*E116</f>
        <v>0</v>
      </c>
      <c r="F125" s="52" t="n">
        <f aca="false">F118*F116</f>
        <v>0</v>
      </c>
      <c r="G125" s="52" t="n">
        <f aca="false">G118*G116</f>
        <v>0</v>
      </c>
      <c r="H125" s="52" t="n">
        <f aca="false">H118*H116</f>
        <v>0</v>
      </c>
      <c r="I125" s="52" t="n">
        <f aca="false">I118*I116</f>
        <v>0</v>
      </c>
      <c r="J125" s="52" t="n">
        <f aca="false">J118*J116</f>
        <v>0</v>
      </c>
      <c r="K125" s="52" t="n">
        <f aca="false">K118*K116</f>
        <v>0</v>
      </c>
      <c r="L125" s="52" t="n">
        <f aca="false">L118*L116</f>
        <v>0</v>
      </c>
      <c r="M125" s="52" t="n">
        <f aca="false">M118*M116</f>
        <v>0</v>
      </c>
      <c r="N125" s="52" t="n">
        <f aca="false">N118*N116</f>
        <v>0</v>
      </c>
      <c r="O125" s="52" t="n">
        <f aca="false">O118*O116</f>
        <v>0</v>
      </c>
      <c r="P125" s="52" t="n">
        <f aca="false">P118*P116</f>
        <v>0</v>
      </c>
      <c r="Q125" s="52" t="n">
        <f aca="false">Q118*Q116</f>
        <v>0</v>
      </c>
      <c r="R125" s="52" t="n">
        <f aca="false">R118*R116</f>
        <v>0</v>
      </c>
      <c r="S125" s="52" t="n">
        <f aca="false">S118*S116</f>
        <v>0</v>
      </c>
      <c r="T125" s="52" t="n">
        <f aca="false">T118*T116</f>
        <v>0</v>
      </c>
      <c r="U125" s="52" t="n">
        <f aca="false">U118*U116</f>
        <v>0</v>
      </c>
      <c r="V125" s="52" t="n">
        <f aca="false">V118*V116</f>
        <v>0</v>
      </c>
      <c r="W125" s="52" t="n">
        <f aca="false">W118*W116</f>
        <v>0</v>
      </c>
      <c r="X125" s="52" t="n">
        <f aca="false">X118*X116</f>
        <v>0</v>
      </c>
      <c r="Y125" s="52" t="n">
        <f aca="false">Y118*Y116</f>
        <v>0</v>
      </c>
      <c r="Z125" s="52" t="n">
        <f aca="false">Z118*Z116</f>
        <v>0</v>
      </c>
      <c r="AA125" s="52" t="n">
        <f aca="false">AA118*AA116</f>
        <v>0</v>
      </c>
      <c r="AB125" s="52" t="n">
        <f aca="false">AB118*AB116</f>
        <v>0</v>
      </c>
      <c r="AC125" s="52" t="n">
        <f aca="false">AC118*AC116</f>
        <v>0</v>
      </c>
      <c r="AD125" s="52" t="n">
        <f aca="false">AD118*AD116</f>
        <v>0</v>
      </c>
      <c r="AE125" s="52" t="n">
        <f aca="false">AE118*AE116</f>
        <v>0</v>
      </c>
      <c r="AF125" s="52" t="n">
        <f aca="false">AF118*AF116</f>
        <v>0</v>
      </c>
      <c r="AG125" s="52" t="n">
        <f aca="false">AG118*AG116</f>
        <v>0</v>
      </c>
      <c r="AH125" s="52" t="n">
        <f aca="false">AH118*AH116</f>
        <v>0</v>
      </c>
    </row>
    <row r="127" customFormat="false" ht="15" hidden="false" customHeight="true" outlineLevel="0" collapsed="false">
      <c r="A127" s="53" t="s">
        <v>1422</v>
      </c>
      <c r="B127" s="58" t="s">
        <v>1403</v>
      </c>
      <c r="C127" s="59" t="n">
        <f aca="false">in_G02a</f>
        <v>20</v>
      </c>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row>
    <row r="128" customFormat="false" ht="15" hidden="false" customHeight="true" outlineLevel="0" collapsed="false">
      <c r="A128" s="33" t="s">
        <v>1404</v>
      </c>
      <c r="D128" s="61" t="n">
        <f aca="false">IF(D$3&lt;=in_G02a,1,0)</f>
        <v>1</v>
      </c>
      <c r="E128" s="61" t="n">
        <f aca="false">IF(E$3&lt;=in_G02a,1,0)</f>
        <v>1</v>
      </c>
      <c r="F128" s="61" t="n">
        <f aca="false">IF(F$3&lt;=in_G02a,1,0)</f>
        <v>1</v>
      </c>
      <c r="G128" s="61" t="n">
        <f aca="false">IF(G$3&lt;=in_G02a,1,0)</f>
        <v>1</v>
      </c>
      <c r="H128" s="61" t="n">
        <f aca="false">IF(H$3&lt;=in_G02a,1,0)</f>
        <v>1</v>
      </c>
      <c r="I128" s="61" t="n">
        <f aca="false">IF(I$3&lt;=in_G02a,1,0)</f>
        <v>1</v>
      </c>
      <c r="J128" s="61" t="n">
        <f aca="false">IF(J$3&lt;=in_G02a,1,0)</f>
        <v>1</v>
      </c>
      <c r="K128" s="61" t="n">
        <f aca="false">IF(K$3&lt;=in_G02a,1,0)</f>
        <v>1</v>
      </c>
      <c r="L128" s="61" t="n">
        <f aca="false">IF(L$3&lt;=in_G02a,1,0)</f>
        <v>1</v>
      </c>
      <c r="M128" s="61" t="n">
        <f aca="false">IF(M$3&lt;=in_G02a,1,0)</f>
        <v>1</v>
      </c>
      <c r="N128" s="61" t="n">
        <f aca="false">IF(N$3&lt;=in_G02a,1,0)</f>
        <v>1</v>
      </c>
      <c r="O128" s="61" t="n">
        <f aca="false">IF(O$3&lt;=in_G02a,1,0)</f>
        <v>1</v>
      </c>
      <c r="P128" s="61" t="n">
        <f aca="false">IF(P$3&lt;=in_G02a,1,0)</f>
        <v>1</v>
      </c>
      <c r="Q128" s="61" t="n">
        <f aca="false">IF(Q$3&lt;=in_G02a,1,0)</f>
        <v>1</v>
      </c>
      <c r="R128" s="61" t="n">
        <f aca="false">IF(R$3&lt;=in_G02a,1,0)</f>
        <v>1</v>
      </c>
      <c r="S128" s="61" t="n">
        <f aca="false">IF(S$3&lt;=in_G02a,1,0)</f>
        <v>1</v>
      </c>
      <c r="T128" s="61" t="n">
        <f aca="false">IF(T$3&lt;=in_G02a,1,0)</f>
        <v>1</v>
      </c>
      <c r="U128" s="61" t="n">
        <f aca="false">IF(U$3&lt;=in_G02a,1,0)</f>
        <v>1</v>
      </c>
      <c r="V128" s="61" t="n">
        <f aca="false">IF(V$3&lt;=in_G02a,1,0)</f>
        <v>1</v>
      </c>
      <c r="W128" s="61" t="n">
        <f aca="false">IF(W$3&lt;=in_G02a,1,0)</f>
        <v>1</v>
      </c>
      <c r="X128" s="61" t="n">
        <f aca="false">IF(X$3&lt;=in_G02a,1,0)</f>
        <v>1</v>
      </c>
      <c r="Y128" s="61" t="n">
        <f aca="false">IF(Y$3&lt;=in_G02a,1,0)</f>
        <v>0</v>
      </c>
      <c r="Z128" s="61" t="n">
        <f aca="false">IF(Z$3&lt;=in_G02a,1,0)</f>
        <v>0</v>
      </c>
      <c r="AA128" s="61" t="n">
        <f aca="false">IF(AA$3&lt;=in_G02a,1,0)</f>
        <v>0</v>
      </c>
      <c r="AB128" s="61" t="n">
        <f aca="false">IF(AB$3&lt;=in_G02a,1,0)</f>
        <v>0</v>
      </c>
      <c r="AC128" s="61" t="n">
        <f aca="false">IF(AC$3&lt;=in_G02a,1,0)</f>
        <v>0</v>
      </c>
      <c r="AD128" s="61" t="n">
        <f aca="false">IF(AD$3&lt;=in_G02a,1,0)</f>
        <v>0</v>
      </c>
      <c r="AE128" s="61" t="n">
        <f aca="false">IF(AE$3&lt;=in_G02a,1,0)</f>
        <v>0</v>
      </c>
      <c r="AF128" s="61" t="n">
        <f aca="false">IF(AF$3&lt;=in_G02a,1,0)</f>
        <v>0</v>
      </c>
      <c r="AG128" s="61" t="n">
        <f aca="false">IF(AG$3&lt;=in_G02a,1,0)</f>
        <v>0</v>
      </c>
      <c r="AH128" s="61" t="n">
        <f aca="false">IF(AH$3&lt;=in_G02a,1,0)</f>
        <v>0</v>
      </c>
    </row>
    <row r="129" customFormat="false" ht="15" hidden="false" customHeight="true" outlineLevel="0" collapsed="false">
      <c r="A129" s="33" t="s">
        <v>1405</v>
      </c>
      <c r="C129" s="46" t="n">
        <f aca="false">SUMPRODUCT(D129:AH129,D$5:AH$5)</f>
        <v>25000</v>
      </c>
      <c r="D129" s="52" t="n">
        <f aca="false">IF(D$3=0,in_M09,0)</f>
        <v>25000</v>
      </c>
      <c r="E129" s="52" t="n">
        <f aca="false">IF(E$3=0,in_M09,0)</f>
        <v>0</v>
      </c>
      <c r="F129" s="52" t="n">
        <f aca="false">IF(F$3=0,in_M09,0)</f>
        <v>0</v>
      </c>
      <c r="G129" s="52" t="n">
        <f aca="false">IF(G$3=0,in_M09,0)</f>
        <v>0</v>
      </c>
      <c r="H129" s="52" t="n">
        <f aca="false">IF(H$3=0,in_M09,0)</f>
        <v>0</v>
      </c>
      <c r="I129" s="52" t="n">
        <f aca="false">IF(I$3=0,in_M09,0)</f>
        <v>0</v>
      </c>
      <c r="J129" s="52" t="n">
        <f aca="false">IF(J$3=0,in_M09,0)</f>
        <v>0</v>
      </c>
      <c r="K129" s="52" t="n">
        <f aca="false">IF(K$3=0,in_M09,0)</f>
        <v>0</v>
      </c>
      <c r="L129" s="52" t="n">
        <f aca="false">IF(L$3=0,in_M09,0)</f>
        <v>0</v>
      </c>
      <c r="M129" s="52" t="n">
        <f aca="false">IF(M$3=0,in_M09,0)</f>
        <v>0</v>
      </c>
      <c r="N129" s="52" t="n">
        <f aca="false">IF(N$3=0,in_M09,0)</f>
        <v>0</v>
      </c>
      <c r="O129" s="52" t="n">
        <f aca="false">IF(O$3=0,in_M09,0)</f>
        <v>0</v>
      </c>
      <c r="P129" s="52" t="n">
        <f aca="false">IF(P$3=0,in_M09,0)</f>
        <v>0</v>
      </c>
      <c r="Q129" s="52" t="n">
        <f aca="false">IF(Q$3=0,in_M09,0)</f>
        <v>0</v>
      </c>
      <c r="R129" s="52" t="n">
        <f aca="false">IF(R$3=0,in_M09,0)</f>
        <v>0</v>
      </c>
      <c r="S129" s="52" t="n">
        <f aca="false">IF(S$3=0,in_M09,0)</f>
        <v>0</v>
      </c>
      <c r="T129" s="52" t="n">
        <f aca="false">IF(T$3=0,in_M09,0)</f>
        <v>0</v>
      </c>
      <c r="U129" s="52" t="n">
        <f aca="false">IF(U$3=0,in_M09,0)</f>
        <v>0</v>
      </c>
      <c r="V129" s="52" t="n">
        <f aca="false">IF(V$3=0,in_M09,0)</f>
        <v>0</v>
      </c>
      <c r="W129" s="52" t="n">
        <f aca="false">IF(W$3=0,in_M09,0)</f>
        <v>0</v>
      </c>
      <c r="X129" s="52" t="n">
        <f aca="false">IF(X$3=0,in_M09,0)</f>
        <v>0</v>
      </c>
      <c r="Y129" s="52" t="n">
        <f aca="false">IF(Y$3=0,in_M09,0)</f>
        <v>0</v>
      </c>
      <c r="Z129" s="52" t="n">
        <f aca="false">IF(Z$3=0,in_M09,0)</f>
        <v>0</v>
      </c>
      <c r="AA129" s="52" t="n">
        <f aca="false">IF(AA$3=0,in_M09,0)</f>
        <v>0</v>
      </c>
      <c r="AB129" s="52" t="n">
        <f aca="false">IF(AB$3=0,in_M09,0)</f>
        <v>0</v>
      </c>
      <c r="AC129" s="52" t="n">
        <f aca="false">IF(AC$3=0,in_M09,0)</f>
        <v>0</v>
      </c>
      <c r="AD129" s="52" t="n">
        <f aca="false">IF(AD$3=0,in_M09,0)</f>
        <v>0</v>
      </c>
      <c r="AE129" s="52" t="n">
        <f aca="false">IF(AE$3=0,in_M09,0)</f>
        <v>0</v>
      </c>
      <c r="AF129" s="52" t="n">
        <f aca="false">IF(AF$3=0,in_M09,0)</f>
        <v>0</v>
      </c>
      <c r="AG129" s="52" t="n">
        <f aca="false">IF(AG$3=0,in_M09,0)</f>
        <v>0</v>
      </c>
      <c r="AH129" s="52" t="n">
        <f aca="false">IF(AH$3=0,in_M09,0)</f>
        <v>0</v>
      </c>
    </row>
    <row r="130" customFormat="false" ht="15" hidden="false" customHeight="true" outlineLevel="0" collapsed="false">
      <c r="A130" s="33" t="s">
        <v>1406</v>
      </c>
      <c r="D130" s="52" t="n">
        <f aca="false">Supply!D43</f>
        <v>0</v>
      </c>
      <c r="E130" s="52" t="n">
        <f aca="false">Supply!E43</f>
        <v>4277.98615773569</v>
      </c>
      <c r="F130" s="52" t="n">
        <f aca="false">Supply!F43</f>
        <v>4277.98615773569</v>
      </c>
      <c r="G130" s="52" t="n">
        <f aca="false">Supply!G43</f>
        <v>4277.98615773569</v>
      </c>
      <c r="H130" s="52" t="n">
        <f aca="false">Supply!H43</f>
        <v>4277.98615773569</v>
      </c>
      <c r="I130" s="52" t="n">
        <f aca="false">Supply!I43</f>
        <v>4277.98615773569</v>
      </c>
      <c r="J130" s="52" t="n">
        <f aca="false">Supply!J43</f>
        <v>4277.98615773569</v>
      </c>
      <c r="K130" s="52" t="n">
        <f aca="false">Supply!K43</f>
        <v>4277.98615773569</v>
      </c>
      <c r="L130" s="52" t="n">
        <f aca="false">Supply!L43</f>
        <v>4277.98615773569</v>
      </c>
      <c r="M130" s="52" t="n">
        <f aca="false">Supply!M43</f>
        <v>4277.98615773569</v>
      </c>
      <c r="N130" s="52" t="n">
        <f aca="false">Supply!N43</f>
        <v>4277.98615773569</v>
      </c>
      <c r="O130" s="52" t="n">
        <f aca="false">Supply!O43</f>
        <v>4277.98615773569</v>
      </c>
      <c r="P130" s="52" t="n">
        <f aca="false">Supply!P43</f>
        <v>4277.98615773569</v>
      </c>
      <c r="Q130" s="52" t="n">
        <f aca="false">Supply!Q43</f>
        <v>4277.98615773569</v>
      </c>
      <c r="R130" s="52" t="n">
        <f aca="false">Supply!R43</f>
        <v>4277.98615773569</v>
      </c>
      <c r="S130" s="52" t="n">
        <f aca="false">Supply!S43</f>
        <v>4262.77927332737</v>
      </c>
      <c r="T130" s="52" t="n">
        <f aca="false">Supply!T43</f>
        <v>4198.83758422745</v>
      </c>
      <c r="U130" s="52" t="n">
        <f aca="false">Supply!U43</f>
        <v>4135.85502046405</v>
      </c>
      <c r="V130" s="52" t="n">
        <f aca="false">Supply!V43</f>
        <v>4073.81719515708</v>
      </c>
      <c r="W130" s="52" t="n">
        <f aca="false">Supply!W43</f>
        <v>4012.70993722973</v>
      </c>
      <c r="X130" s="52" t="n">
        <f aca="false">Supply!X43</f>
        <v>3952.51928817128</v>
      </c>
      <c r="Y130" s="52" t="n">
        <f aca="false">Supply!Y43</f>
        <v>3893.23149884872</v>
      </c>
      <c r="Z130" s="52" t="n">
        <f aca="false">Supply!Z43</f>
        <v>3834.83302636599</v>
      </c>
      <c r="AA130" s="52" t="n">
        <f aca="false">Supply!AA43</f>
        <v>3777.31053097048</v>
      </c>
      <c r="AB130" s="52" t="n">
        <f aca="false">Supply!AB43</f>
        <v>3720.65087300594</v>
      </c>
      <c r="AC130" s="52" t="n">
        <f aca="false">Supply!AC43</f>
        <v>3664.84110991085</v>
      </c>
      <c r="AD130" s="52" t="n">
        <f aca="false">Supply!AD43</f>
        <v>3609.86849326218</v>
      </c>
      <c r="AE130" s="52" t="n">
        <f aca="false">Supply!AE43</f>
        <v>3555.72046586325</v>
      </c>
      <c r="AF130" s="52" t="n">
        <f aca="false">Supply!AF43</f>
        <v>3502.38465887531</v>
      </c>
      <c r="AG130" s="52" t="n">
        <f aca="false">Supply!AG43</f>
        <v>3449.84888899217</v>
      </c>
      <c r="AH130" s="52" t="n">
        <f aca="false">Supply!AH43</f>
        <v>3398.10115565728</v>
      </c>
    </row>
    <row r="131" customFormat="false" ht="15" hidden="false" customHeight="true" outlineLevel="0" collapsed="false">
      <c r="A131" s="33" t="s">
        <v>1407</v>
      </c>
      <c r="D131" s="52" t="n">
        <f aca="false">IF(D$3=0,0,c_mango_margin-in_H01*c_sub_t*c_mango_mpt)</f>
        <v>0</v>
      </c>
      <c r="E131" s="52" t="n">
        <f aca="false">IF(E$3=0,0,c_mango_margin-in_H01*c_sub_t*c_mango_mpt)</f>
        <v>27650</v>
      </c>
      <c r="F131" s="52" t="n">
        <f aca="false">IF(F$3=0,0,c_mango_margin-in_H01*c_sub_t*c_mango_mpt)</f>
        <v>27650</v>
      </c>
      <c r="G131" s="52" t="n">
        <f aca="false">IF(G$3=0,0,c_mango_margin-in_H01*c_sub_t*c_mango_mpt)</f>
        <v>27650</v>
      </c>
      <c r="H131" s="52" t="n">
        <f aca="false">IF(H$3=0,0,c_mango_margin-in_H01*c_sub_t*c_mango_mpt)</f>
        <v>27650</v>
      </c>
      <c r="I131" s="52" t="n">
        <f aca="false">IF(I$3=0,0,c_mango_margin-in_H01*c_sub_t*c_mango_mpt)</f>
        <v>27650</v>
      </c>
      <c r="J131" s="52" t="n">
        <f aca="false">IF(J$3=0,0,c_mango_margin-in_H01*c_sub_t*c_mango_mpt)</f>
        <v>27650</v>
      </c>
      <c r="K131" s="52" t="n">
        <f aca="false">IF(K$3=0,0,c_mango_margin-in_H01*c_sub_t*c_mango_mpt)</f>
        <v>27650</v>
      </c>
      <c r="L131" s="52" t="n">
        <f aca="false">IF(L$3=0,0,c_mango_margin-in_H01*c_sub_t*c_mango_mpt)</f>
        <v>27650</v>
      </c>
      <c r="M131" s="52" t="n">
        <f aca="false">IF(M$3=0,0,c_mango_margin-in_H01*c_sub_t*c_mango_mpt)</f>
        <v>27650</v>
      </c>
      <c r="N131" s="52" t="n">
        <f aca="false">IF(N$3=0,0,c_mango_margin-in_H01*c_sub_t*c_mango_mpt)</f>
        <v>27650</v>
      </c>
      <c r="O131" s="52" t="n">
        <f aca="false">IF(O$3=0,0,c_mango_margin-in_H01*c_sub_t*c_mango_mpt)</f>
        <v>27650</v>
      </c>
      <c r="P131" s="52" t="n">
        <f aca="false">IF(P$3=0,0,c_mango_margin-in_H01*c_sub_t*c_mango_mpt)</f>
        <v>27650</v>
      </c>
      <c r="Q131" s="52" t="n">
        <f aca="false">IF(Q$3=0,0,c_mango_margin-in_H01*c_sub_t*c_mango_mpt)</f>
        <v>27650</v>
      </c>
      <c r="R131" s="52" t="n">
        <f aca="false">IF(R$3=0,0,c_mango_margin-in_H01*c_sub_t*c_mango_mpt)</f>
        <v>27650</v>
      </c>
      <c r="S131" s="52" t="n">
        <f aca="false">IF(S$3=0,0,c_mango_margin-in_H01*c_sub_t*c_mango_mpt)</f>
        <v>27650</v>
      </c>
      <c r="T131" s="52" t="n">
        <f aca="false">IF(T$3=0,0,c_mango_margin-in_H01*c_sub_t*c_mango_mpt)</f>
        <v>27650</v>
      </c>
      <c r="U131" s="52" t="n">
        <f aca="false">IF(U$3=0,0,c_mango_margin-in_H01*c_sub_t*c_mango_mpt)</f>
        <v>27650</v>
      </c>
      <c r="V131" s="52" t="n">
        <f aca="false">IF(V$3=0,0,c_mango_margin-in_H01*c_sub_t*c_mango_mpt)</f>
        <v>27650</v>
      </c>
      <c r="W131" s="52" t="n">
        <f aca="false">IF(W$3=0,0,c_mango_margin-in_H01*c_sub_t*c_mango_mpt)</f>
        <v>27650</v>
      </c>
      <c r="X131" s="52" t="n">
        <f aca="false">IF(X$3=0,0,c_mango_margin-in_H01*c_sub_t*c_mango_mpt)</f>
        <v>27650</v>
      </c>
      <c r="Y131" s="52" t="n">
        <f aca="false">IF(Y$3=0,0,c_mango_margin-in_H01*c_sub_t*c_mango_mpt)</f>
        <v>27650</v>
      </c>
      <c r="Z131" s="52" t="n">
        <f aca="false">IF(Z$3=0,0,c_mango_margin-in_H01*c_sub_t*c_mango_mpt)</f>
        <v>27650</v>
      </c>
      <c r="AA131" s="52" t="n">
        <f aca="false">IF(AA$3=0,0,c_mango_margin-in_H01*c_sub_t*c_mango_mpt)</f>
        <v>27650</v>
      </c>
      <c r="AB131" s="52" t="n">
        <f aca="false">IF(AB$3=0,0,c_mango_margin-in_H01*c_sub_t*c_mango_mpt)</f>
        <v>27650</v>
      </c>
      <c r="AC131" s="52" t="n">
        <f aca="false">IF(AC$3=0,0,c_mango_margin-in_H01*c_sub_t*c_mango_mpt)</f>
        <v>27650</v>
      </c>
      <c r="AD131" s="52" t="n">
        <f aca="false">IF(AD$3=0,0,c_mango_margin-in_H01*c_sub_t*c_mango_mpt)</f>
        <v>27650</v>
      </c>
      <c r="AE131" s="52" t="n">
        <f aca="false">IF(AE$3=0,0,c_mango_margin-in_H01*c_sub_t*c_mango_mpt)</f>
        <v>27650</v>
      </c>
      <c r="AF131" s="52" t="n">
        <f aca="false">IF(AF$3=0,0,c_mango_margin-in_H01*c_sub_t*c_mango_mpt)</f>
        <v>27650</v>
      </c>
      <c r="AG131" s="52" t="n">
        <f aca="false">IF(AG$3=0,0,c_mango_margin-in_H01*c_sub_t*c_mango_mpt)</f>
        <v>27650</v>
      </c>
      <c r="AH131" s="52" t="n">
        <f aca="false">IF(AH$3=0,0,c_mango_margin-in_H01*c_sub_t*c_mango_mpt)</f>
        <v>27650</v>
      </c>
    </row>
    <row r="132" customFormat="false" ht="15" hidden="false" customHeight="true" outlineLevel="0" collapsed="false">
      <c r="A132" s="33" t="s">
        <v>1408</v>
      </c>
      <c r="D132" s="52" t="n">
        <f aca="false">IF(D$3=0,0,in_M11)</f>
        <v>0</v>
      </c>
      <c r="E132" s="52" t="n">
        <f aca="false">IF(E$3=0,0,in_M11)</f>
        <v>10000</v>
      </c>
      <c r="F132" s="52" t="n">
        <f aca="false">IF(F$3=0,0,in_M11)</f>
        <v>10000</v>
      </c>
      <c r="G132" s="52" t="n">
        <f aca="false">IF(G$3=0,0,in_M11)</f>
        <v>10000</v>
      </c>
      <c r="H132" s="52" t="n">
        <f aca="false">IF(H$3=0,0,in_M11)</f>
        <v>10000</v>
      </c>
      <c r="I132" s="52" t="n">
        <f aca="false">IF(I$3=0,0,in_M11)</f>
        <v>10000</v>
      </c>
      <c r="J132" s="52" t="n">
        <f aca="false">IF(J$3=0,0,in_M11)</f>
        <v>10000</v>
      </c>
      <c r="K132" s="52" t="n">
        <f aca="false">IF(K$3=0,0,in_M11)</f>
        <v>10000</v>
      </c>
      <c r="L132" s="52" t="n">
        <f aca="false">IF(L$3=0,0,in_M11)</f>
        <v>10000</v>
      </c>
      <c r="M132" s="52" t="n">
        <f aca="false">IF(M$3=0,0,in_M11)</f>
        <v>10000</v>
      </c>
      <c r="N132" s="52" t="n">
        <f aca="false">IF(N$3=0,0,in_M11)</f>
        <v>10000</v>
      </c>
      <c r="O132" s="52" t="n">
        <f aca="false">IF(O$3=0,0,in_M11)</f>
        <v>10000</v>
      </c>
      <c r="P132" s="52" t="n">
        <f aca="false">IF(P$3=0,0,in_M11)</f>
        <v>10000</v>
      </c>
      <c r="Q132" s="52" t="n">
        <f aca="false">IF(Q$3=0,0,in_M11)</f>
        <v>10000</v>
      </c>
      <c r="R132" s="52" t="n">
        <f aca="false">IF(R$3=0,0,in_M11)</f>
        <v>10000</v>
      </c>
      <c r="S132" s="52" t="n">
        <f aca="false">IF(S$3=0,0,in_M11)</f>
        <v>10000</v>
      </c>
      <c r="T132" s="52" t="n">
        <f aca="false">IF(T$3=0,0,in_M11)</f>
        <v>10000</v>
      </c>
      <c r="U132" s="52" t="n">
        <f aca="false">IF(U$3=0,0,in_M11)</f>
        <v>10000</v>
      </c>
      <c r="V132" s="52" t="n">
        <f aca="false">IF(V$3=0,0,in_M11)</f>
        <v>10000</v>
      </c>
      <c r="W132" s="52" t="n">
        <f aca="false">IF(W$3=0,0,in_M11)</f>
        <v>10000</v>
      </c>
      <c r="X132" s="52" t="n">
        <f aca="false">IF(X$3=0,0,in_M11)</f>
        <v>10000</v>
      </c>
      <c r="Y132" s="52" t="n">
        <f aca="false">IF(Y$3=0,0,in_M11)</f>
        <v>10000</v>
      </c>
      <c r="Z132" s="52" t="n">
        <f aca="false">IF(Z$3=0,0,in_M11)</f>
        <v>10000</v>
      </c>
      <c r="AA132" s="52" t="n">
        <f aca="false">IF(AA$3=0,0,in_M11)</f>
        <v>10000</v>
      </c>
      <c r="AB132" s="52" t="n">
        <f aca="false">IF(AB$3=0,0,in_M11)</f>
        <v>10000</v>
      </c>
      <c r="AC132" s="52" t="n">
        <f aca="false">IF(AC$3=0,0,in_M11)</f>
        <v>10000</v>
      </c>
      <c r="AD132" s="52" t="n">
        <f aca="false">IF(AD$3=0,0,in_M11)</f>
        <v>10000</v>
      </c>
      <c r="AE132" s="52" t="n">
        <f aca="false">IF(AE$3=0,0,in_M11)</f>
        <v>10000</v>
      </c>
      <c r="AF132" s="52" t="n">
        <f aca="false">IF(AF$3=0,0,in_M11)</f>
        <v>10000</v>
      </c>
      <c r="AG132" s="52" t="n">
        <f aca="false">IF(AG$3=0,0,in_M11)</f>
        <v>10000</v>
      </c>
      <c r="AH132" s="52" t="n">
        <f aca="false">IF(AH$3=0,0,in_M11)</f>
        <v>10000</v>
      </c>
    </row>
    <row r="133" customFormat="false" ht="15" hidden="false" customHeight="true" outlineLevel="0" collapsed="false">
      <c r="A133" s="33" t="s">
        <v>1409</v>
      </c>
      <c r="D133" s="52" t="n">
        <f aca="false">D130+D131-D132</f>
        <v>0</v>
      </c>
      <c r="E133" s="52" t="n">
        <f aca="false">E130+E131-E132</f>
        <v>21927.9861577357</v>
      </c>
      <c r="F133" s="52" t="n">
        <f aca="false">F130+F131-F132</f>
        <v>21927.9861577357</v>
      </c>
      <c r="G133" s="52" t="n">
        <f aca="false">G130+G131-G132</f>
        <v>21927.9861577357</v>
      </c>
      <c r="H133" s="52" t="n">
        <f aca="false">H130+H131-H132</f>
        <v>21927.9861577357</v>
      </c>
      <c r="I133" s="52" t="n">
        <f aca="false">I130+I131-I132</f>
        <v>21927.9861577357</v>
      </c>
      <c r="J133" s="52" t="n">
        <f aca="false">J130+J131-J132</f>
        <v>21927.9861577357</v>
      </c>
      <c r="K133" s="52" t="n">
        <f aca="false">K130+K131-K132</f>
        <v>21927.9861577357</v>
      </c>
      <c r="L133" s="52" t="n">
        <f aca="false">L130+L131-L132</f>
        <v>21927.9861577357</v>
      </c>
      <c r="M133" s="52" t="n">
        <f aca="false">M130+M131-M132</f>
        <v>21927.9861577357</v>
      </c>
      <c r="N133" s="52" t="n">
        <f aca="false">N130+N131-N132</f>
        <v>21927.9861577357</v>
      </c>
      <c r="O133" s="52" t="n">
        <f aca="false">O130+O131-O132</f>
        <v>21927.9861577357</v>
      </c>
      <c r="P133" s="52" t="n">
        <f aca="false">P130+P131-P132</f>
        <v>21927.9861577357</v>
      </c>
      <c r="Q133" s="52" t="n">
        <f aca="false">Q130+Q131-Q132</f>
        <v>21927.9861577357</v>
      </c>
      <c r="R133" s="52" t="n">
        <f aca="false">R130+R131-R132</f>
        <v>21927.9861577357</v>
      </c>
      <c r="S133" s="52" t="n">
        <f aca="false">S130+S131-S132</f>
        <v>21912.7792733274</v>
      </c>
      <c r="T133" s="52" t="n">
        <f aca="false">T130+T131-T132</f>
        <v>21848.8375842275</v>
      </c>
      <c r="U133" s="52" t="n">
        <f aca="false">U130+U131-U132</f>
        <v>21785.8550204641</v>
      </c>
      <c r="V133" s="52" t="n">
        <f aca="false">V130+V131-V132</f>
        <v>21723.8171951571</v>
      </c>
      <c r="W133" s="52" t="n">
        <f aca="false">W130+W131-W132</f>
        <v>21662.7099372297</v>
      </c>
      <c r="X133" s="52" t="n">
        <f aca="false">X130+X131-X132</f>
        <v>21602.5192881713</v>
      </c>
      <c r="Y133" s="52" t="n">
        <f aca="false">Y130+Y131-Y132</f>
        <v>21543.2314988487</v>
      </c>
      <c r="Z133" s="52" t="n">
        <f aca="false">Z130+Z131-Z132</f>
        <v>21484.833026366</v>
      </c>
      <c r="AA133" s="52" t="n">
        <f aca="false">AA130+AA131-AA132</f>
        <v>21427.3105309705</v>
      </c>
      <c r="AB133" s="52" t="n">
        <f aca="false">AB130+AB131-AB132</f>
        <v>21370.6508730059</v>
      </c>
      <c r="AC133" s="52" t="n">
        <f aca="false">AC130+AC131-AC132</f>
        <v>21314.8411099109</v>
      </c>
      <c r="AD133" s="52" t="n">
        <f aca="false">AD130+AD131-AD132</f>
        <v>21259.8684932622</v>
      </c>
      <c r="AE133" s="52" t="n">
        <f aca="false">AE130+AE131-AE132</f>
        <v>21205.7204658633</v>
      </c>
      <c r="AF133" s="52" t="n">
        <f aca="false">AF130+AF131-AF132</f>
        <v>21152.3846588753</v>
      </c>
      <c r="AG133" s="52" t="n">
        <f aca="false">AG130+AG131-AG132</f>
        <v>21099.8488889922</v>
      </c>
      <c r="AH133" s="52" t="n">
        <f aca="false">AH130+AH131-AH132</f>
        <v>21048.1011556573</v>
      </c>
    </row>
    <row r="134" customFormat="false" ht="15" hidden="false" customHeight="true" outlineLevel="0" collapsed="false">
      <c r="A134" s="33" t="s">
        <v>1410</v>
      </c>
      <c r="D134" s="52" t="n">
        <f aca="false">D$4*MAX(0,D133)</f>
        <v>0</v>
      </c>
      <c r="E134" s="52" t="n">
        <f aca="false">E$4*MAX(0,E133)</f>
        <v>0</v>
      </c>
      <c r="F134" s="52" t="n">
        <f aca="false">F$4*MAX(0,F133)</f>
        <v>0</v>
      </c>
      <c r="G134" s="52" t="n">
        <f aca="false">G$4*MAX(0,G133)</f>
        <v>0</v>
      </c>
      <c r="H134" s="52" t="n">
        <f aca="false">H$4*MAX(0,H133)</f>
        <v>0</v>
      </c>
      <c r="I134" s="52" t="n">
        <f aca="false">I$4*MAX(0,I133)</f>
        <v>0</v>
      </c>
      <c r="J134" s="52" t="n">
        <f aca="false">J$4*MAX(0,J133)</f>
        <v>0</v>
      </c>
      <c r="K134" s="52" t="n">
        <f aca="false">K$4*MAX(0,K133)</f>
        <v>0</v>
      </c>
      <c r="L134" s="52" t="n">
        <f aca="false">L$4*MAX(0,L133)</f>
        <v>0</v>
      </c>
      <c r="M134" s="52" t="n">
        <f aca="false">M$4*MAX(0,M133)</f>
        <v>0</v>
      </c>
      <c r="N134" s="52" t="n">
        <f aca="false">N$4*MAX(0,N133)</f>
        <v>0</v>
      </c>
      <c r="O134" s="52" t="n">
        <f aca="false">O$4*MAX(0,O133)</f>
        <v>3618.11771602639</v>
      </c>
      <c r="P134" s="52" t="n">
        <f aca="false">P$4*MAX(0,P133)</f>
        <v>3618.11771602639</v>
      </c>
      <c r="Q134" s="52" t="n">
        <f aca="false">Q$4*MAX(0,Q133)</f>
        <v>3618.11771602639</v>
      </c>
      <c r="R134" s="52" t="n">
        <f aca="false">R$4*MAX(0,R133)</f>
        <v>3618.11771602639</v>
      </c>
      <c r="S134" s="52" t="n">
        <f aca="false">S$4*MAX(0,S133)</f>
        <v>3615.60858009902</v>
      </c>
      <c r="T134" s="52" t="n">
        <f aca="false">T$4*MAX(0,T133)</f>
        <v>3605.05820139753</v>
      </c>
      <c r="U134" s="52" t="n">
        <f aca="false">U$4*MAX(0,U133)</f>
        <v>3594.66607837657</v>
      </c>
      <c r="V134" s="52" t="n">
        <f aca="false">V$4*MAX(0,V133)</f>
        <v>3584.42983720092</v>
      </c>
      <c r="W134" s="52" t="n">
        <f aca="false">W$4*MAX(0,W133)</f>
        <v>3574.34713964291</v>
      </c>
      <c r="X134" s="52" t="n">
        <f aca="false">X$4*MAX(0,X133)</f>
        <v>3564.41568254826</v>
      </c>
      <c r="Y134" s="52" t="n">
        <f aca="false">Y$4*MAX(0,Y133)</f>
        <v>3554.63319731004</v>
      </c>
      <c r="Z134" s="52" t="n">
        <f aca="false">Z$4*MAX(0,Z133)</f>
        <v>3544.99744935039</v>
      </c>
      <c r="AA134" s="52" t="n">
        <f aca="false">AA$4*MAX(0,AA133)</f>
        <v>3535.50623761013</v>
      </c>
      <c r="AB134" s="52" t="n">
        <f aca="false">AB$4*MAX(0,AB133)</f>
        <v>3526.15739404598</v>
      </c>
      <c r="AC134" s="52" t="n">
        <f aca="false">AC$4*MAX(0,AC133)</f>
        <v>3516.94878313529</v>
      </c>
      <c r="AD134" s="52" t="n">
        <f aca="false">AD$4*MAX(0,AD133)</f>
        <v>3507.87830138826</v>
      </c>
      <c r="AE134" s="52" t="n">
        <f aca="false">AE$4*MAX(0,AE133)</f>
        <v>3498.94387686744</v>
      </c>
      <c r="AF134" s="52" t="n">
        <f aca="false">AF$4*MAX(0,AF133)</f>
        <v>3490.14346871443</v>
      </c>
      <c r="AG134" s="52" t="n">
        <f aca="false">AG$4*MAX(0,AG133)</f>
        <v>3481.47506668371</v>
      </c>
      <c r="AH134" s="52" t="n">
        <f aca="false">AH$4*MAX(0,AH133)</f>
        <v>3472.93669068345</v>
      </c>
    </row>
    <row r="135" customFormat="false" ht="15" hidden="false" customHeight="true" outlineLevel="0" collapsed="false">
      <c r="A135" s="33" t="s">
        <v>1411</v>
      </c>
      <c r="C135" s="55" t="n">
        <f aca="false">SUMPRODUCT(D135:AH135,D$5:AH$5)</f>
        <v>123164.624969403</v>
      </c>
      <c r="D135" s="55" t="n">
        <f aca="false">(D133-D129-D134)*D128</f>
        <v>-25000</v>
      </c>
      <c r="E135" s="55" t="n">
        <f aca="false">(E133-E129-E134)*E128</f>
        <v>21927.9861577357</v>
      </c>
      <c r="F135" s="55" t="n">
        <f aca="false">(F133-F129-F134)*F128</f>
        <v>21927.9861577357</v>
      </c>
      <c r="G135" s="55" t="n">
        <f aca="false">(G133-G129-G134)*G128</f>
        <v>21927.9861577357</v>
      </c>
      <c r="H135" s="55" t="n">
        <f aca="false">(H133-H129-H134)*H128</f>
        <v>21927.9861577357</v>
      </c>
      <c r="I135" s="55" t="n">
        <f aca="false">(I133-I129-I134)*I128</f>
        <v>21927.9861577357</v>
      </c>
      <c r="J135" s="55" t="n">
        <f aca="false">(J133-J129-J134)*J128</f>
        <v>21927.9861577357</v>
      </c>
      <c r="K135" s="55" t="n">
        <f aca="false">(K133-K129-K134)*K128</f>
        <v>21927.9861577357</v>
      </c>
      <c r="L135" s="55" t="n">
        <f aca="false">(L133-L129-L134)*L128</f>
        <v>21927.9861577357</v>
      </c>
      <c r="M135" s="55" t="n">
        <f aca="false">(M133-M129-M134)*M128</f>
        <v>21927.9861577357</v>
      </c>
      <c r="N135" s="55" t="n">
        <f aca="false">(N133-N129-N134)*N128</f>
        <v>21927.9861577357</v>
      </c>
      <c r="O135" s="55" t="n">
        <f aca="false">(O133-O129-O134)*O128</f>
        <v>18309.8684417093</v>
      </c>
      <c r="P135" s="55" t="n">
        <f aca="false">(P133-P129-P134)*P128</f>
        <v>18309.8684417093</v>
      </c>
      <c r="Q135" s="55" t="n">
        <f aca="false">(Q133-Q129-Q134)*Q128</f>
        <v>18309.8684417093</v>
      </c>
      <c r="R135" s="55" t="n">
        <f aca="false">(R133-R129-R134)*R128</f>
        <v>18309.8684417093</v>
      </c>
      <c r="S135" s="55" t="n">
        <f aca="false">(S133-S129-S134)*S128</f>
        <v>18297.1706932284</v>
      </c>
      <c r="T135" s="55" t="n">
        <f aca="false">(T133-T129-T134)*T128</f>
        <v>18243.7793828299</v>
      </c>
      <c r="U135" s="55" t="n">
        <f aca="false">(U133-U129-U134)*U128</f>
        <v>18191.1889420875</v>
      </c>
      <c r="V135" s="55" t="n">
        <f aca="false">(V133-V129-V134)*V128</f>
        <v>18139.3873579562</v>
      </c>
      <c r="W135" s="55" t="n">
        <f aca="false">(W133-W129-W134)*W128</f>
        <v>18088.3627975868</v>
      </c>
      <c r="X135" s="55" t="n">
        <f aca="false">(X133-X129-X134)*X128</f>
        <v>18038.103605623</v>
      </c>
      <c r="Y135" s="55" t="n">
        <f aca="false">(Y133-Y129-Y134)*Y128</f>
        <v>0</v>
      </c>
      <c r="Z135" s="55" t="n">
        <f aca="false">(Z133-Z129-Z134)*Z128</f>
        <v>0</v>
      </c>
      <c r="AA135" s="55" t="n">
        <f aca="false">(AA133-AA129-AA134)*AA128</f>
        <v>0</v>
      </c>
      <c r="AB135" s="55" t="n">
        <f aca="false">(AB133-AB129-AB134)*AB128</f>
        <v>0</v>
      </c>
      <c r="AC135" s="55" t="n">
        <f aca="false">(AC133-AC129-AC134)*AC128</f>
        <v>0</v>
      </c>
      <c r="AD135" s="55" t="n">
        <f aca="false">(AD133-AD129-AD134)*AD128</f>
        <v>0</v>
      </c>
      <c r="AE135" s="55" t="n">
        <f aca="false">(AE133-AE129-AE134)*AE128</f>
        <v>0</v>
      </c>
      <c r="AF135" s="55" t="n">
        <f aca="false">(AF133-AF129-AF134)*AF128</f>
        <v>0</v>
      </c>
      <c r="AG135" s="55" t="n">
        <f aca="false">(AG133-AG129-AG134)*AG128</f>
        <v>0</v>
      </c>
      <c r="AH135" s="55" t="n">
        <f aca="false">(AH133-AH129-AH134)*AH128</f>
        <v>0</v>
      </c>
    </row>
    <row r="136" customFormat="false" ht="15" hidden="false" customHeight="true" outlineLevel="0" collapsed="false">
      <c r="A136" s="33" t="s">
        <v>1412</v>
      </c>
      <c r="C136" s="46" t="n">
        <f aca="false">SUMPRODUCT(D136:AH136,D$5:AH$5)</f>
        <v>0</v>
      </c>
      <c r="D136" s="52" t="n">
        <f aca="false">0</f>
        <v>0</v>
      </c>
      <c r="E136" s="52" t="n">
        <f aca="false">0</f>
        <v>0</v>
      </c>
      <c r="F136" s="52" t="n">
        <f aca="false">0</f>
        <v>0</v>
      </c>
      <c r="G136" s="52" t="n">
        <f aca="false">0</f>
        <v>0</v>
      </c>
      <c r="H136" s="52" t="n">
        <f aca="false">0</f>
        <v>0</v>
      </c>
      <c r="I136" s="52" t="n">
        <f aca="false">0</f>
        <v>0</v>
      </c>
      <c r="J136" s="52" t="n">
        <f aca="false">0</f>
        <v>0</v>
      </c>
      <c r="K136" s="52" t="n">
        <f aca="false">0</f>
        <v>0</v>
      </c>
      <c r="L136" s="52" t="n">
        <f aca="false">0</f>
        <v>0</v>
      </c>
      <c r="M136" s="52" t="n">
        <f aca="false">0</f>
        <v>0</v>
      </c>
      <c r="N136" s="52" t="n">
        <f aca="false">0</f>
        <v>0</v>
      </c>
      <c r="O136" s="52" t="n">
        <f aca="false">0</f>
        <v>0</v>
      </c>
      <c r="P136" s="52" t="n">
        <f aca="false">0</f>
        <v>0</v>
      </c>
      <c r="Q136" s="52" t="n">
        <f aca="false">0</f>
        <v>0</v>
      </c>
      <c r="R136" s="52" t="n">
        <f aca="false">0</f>
        <v>0</v>
      </c>
      <c r="S136" s="52" t="n">
        <f aca="false">0</f>
        <v>0</v>
      </c>
      <c r="T136" s="52" t="n">
        <f aca="false">0</f>
        <v>0</v>
      </c>
      <c r="U136" s="52" t="n">
        <f aca="false">0</f>
        <v>0</v>
      </c>
      <c r="V136" s="52" t="n">
        <f aca="false">0</f>
        <v>0</v>
      </c>
      <c r="W136" s="52" t="n">
        <f aca="false">0</f>
        <v>0</v>
      </c>
      <c r="X136" s="52" t="n">
        <f aca="false">0</f>
        <v>0</v>
      </c>
      <c r="Y136" s="52" t="n">
        <f aca="false">0</f>
        <v>0</v>
      </c>
      <c r="Z136" s="52" t="n">
        <f aca="false">0</f>
        <v>0</v>
      </c>
      <c r="AA136" s="52" t="n">
        <f aca="false">0</f>
        <v>0</v>
      </c>
      <c r="AB136" s="52" t="n">
        <f aca="false">0</f>
        <v>0</v>
      </c>
      <c r="AC136" s="52" t="n">
        <f aca="false">0</f>
        <v>0</v>
      </c>
      <c r="AD136" s="52" t="n">
        <f aca="false">0</f>
        <v>0</v>
      </c>
      <c r="AE136" s="52" t="n">
        <f aca="false">0</f>
        <v>0</v>
      </c>
      <c r="AF136" s="52" t="n">
        <f aca="false">0</f>
        <v>0</v>
      </c>
      <c r="AG136" s="52" t="n">
        <f aca="false">0</f>
        <v>0</v>
      </c>
      <c r="AH136" s="52" t="n">
        <f aca="false">0</f>
        <v>0</v>
      </c>
    </row>
    <row r="137" customFormat="false" ht="15" hidden="false" customHeight="true" outlineLevel="0" collapsed="false">
      <c r="A137" s="33" t="s">
        <v>1413</v>
      </c>
      <c r="C137" s="46" t="n">
        <f aca="false">SUMPRODUCT(D137:AH137,D$5:AH$5)</f>
        <v>29943.4787400872</v>
      </c>
      <c r="D137" s="52" t="n">
        <f aca="false">D130*D128</f>
        <v>0</v>
      </c>
      <c r="E137" s="52" t="n">
        <f aca="false">E130*E128</f>
        <v>4277.98615773569</v>
      </c>
      <c r="F137" s="52" t="n">
        <f aca="false">F130*F128</f>
        <v>4277.98615773569</v>
      </c>
      <c r="G137" s="52" t="n">
        <f aca="false">G130*G128</f>
        <v>4277.98615773569</v>
      </c>
      <c r="H137" s="52" t="n">
        <f aca="false">H130*H128</f>
        <v>4277.98615773569</v>
      </c>
      <c r="I137" s="52" t="n">
        <f aca="false">I130*I128</f>
        <v>4277.98615773569</v>
      </c>
      <c r="J137" s="52" t="n">
        <f aca="false">J130*J128</f>
        <v>4277.98615773569</v>
      </c>
      <c r="K137" s="52" t="n">
        <f aca="false">K130*K128</f>
        <v>4277.98615773569</v>
      </c>
      <c r="L137" s="52" t="n">
        <f aca="false">L130*L128</f>
        <v>4277.98615773569</v>
      </c>
      <c r="M137" s="52" t="n">
        <f aca="false">M130*M128</f>
        <v>4277.98615773569</v>
      </c>
      <c r="N137" s="52" t="n">
        <f aca="false">N130*N128</f>
        <v>4277.98615773569</v>
      </c>
      <c r="O137" s="52" t="n">
        <f aca="false">O130*O128</f>
        <v>4277.98615773569</v>
      </c>
      <c r="P137" s="52" t="n">
        <f aca="false">P130*P128</f>
        <v>4277.98615773569</v>
      </c>
      <c r="Q137" s="52" t="n">
        <f aca="false">Q130*Q128</f>
        <v>4277.98615773569</v>
      </c>
      <c r="R137" s="52" t="n">
        <f aca="false">R130*R128</f>
        <v>4277.98615773569</v>
      </c>
      <c r="S137" s="52" t="n">
        <f aca="false">S130*S128</f>
        <v>4262.77927332737</v>
      </c>
      <c r="T137" s="52" t="n">
        <f aca="false">T130*T128</f>
        <v>4198.83758422745</v>
      </c>
      <c r="U137" s="52" t="n">
        <f aca="false">U130*U128</f>
        <v>4135.85502046405</v>
      </c>
      <c r="V137" s="52" t="n">
        <f aca="false">V130*V128</f>
        <v>4073.81719515708</v>
      </c>
      <c r="W137" s="52" t="n">
        <f aca="false">W130*W128</f>
        <v>4012.70993722973</v>
      </c>
      <c r="X137" s="52" t="n">
        <f aca="false">X130*X128</f>
        <v>3952.51928817128</v>
      </c>
      <c r="Y137" s="52" t="n">
        <f aca="false">Y130*Y128</f>
        <v>0</v>
      </c>
      <c r="Z137" s="52" t="n">
        <f aca="false">Z130*Z128</f>
        <v>0</v>
      </c>
      <c r="AA137" s="52" t="n">
        <f aca="false">AA130*AA128</f>
        <v>0</v>
      </c>
      <c r="AB137" s="52" t="n">
        <f aca="false">AB130*AB128</f>
        <v>0</v>
      </c>
      <c r="AC137" s="52" t="n">
        <f aca="false">AC130*AC128</f>
        <v>0</v>
      </c>
      <c r="AD137" s="52" t="n">
        <f aca="false">AD130*AD128</f>
        <v>0</v>
      </c>
      <c r="AE137" s="52" t="n">
        <f aca="false">AE130*AE128</f>
        <v>0</v>
      </c>
      <c r="AF137" s="52" t="n">
        <f aca="false">AF130*AF128</f>
        <v>0</v>
      </c>
      <c r="AG137" s="52" t="n">
        <f aca="false">AG130*AG128</f>
        <v>0</v>
      </c>
      <c r="AH137" s="52" t="n">
        <f aca="false">AH130*AH128</f>
        <v>0</v>
      </c>
    </row>
    <row r="139" customFormat="false" ht="15" hidden="false" customHeight="true" outlineLevel="0" collapsed="false">
      <c r="A139" s="53" t="s">
        <v>1423</v>
      </c>
      <c r="B139" s="58" t="s">
        <v>1403</v>
      </c>
      <c r="C139" s="59" t="n">
        <f aca="false">in_G02a</f>
        <v>20</v>
      </c>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row>
    <row r="140" customFormat="false" ht="15" hidden="false" customHeight="true" outlineLevel="0" collapsed="false">
      <c r="A140" s="33" t="s">
        <v>1404</v>
      </c>
      <c r="D140" s="61" t="n">
        <f aca="false">IF(D$3&lt;=in_G02a,1,0)</f>
        <v>1</v>
      </c>
      <c r="E140" s="61" t="n">
        <f aca="false">IF(E$3&lt;=in_G02a,1,0)</f>
        <v>1</v>
      </c>
      <c r="F140" s="61" t="n">
        <f aca="false">IF(F$3&lt;=in_G02a,1,0)</f>
        <v>1</v>
      </c>
      <c r="G140" s="61" t="n">
        <f aca="false">IF(G$3&lt;=in_G02a,1,0)</f>
        <v>1</v>
      </c>
      <c r="H140" s="61" t="n">
        <f aca="false">IF(H$3&lt;=in_G02a,1,0)</f>
        <v>1</v>
      </c>
      <c r="I140" s="61" t="n">
        <f aca="false">IF(I$3&lt;=in_G02a,1,0)</f>
        <v>1</v>
      </c>
      <c r="J140" s="61" t="n">
        <f aca="false">IF(J$3&lt;=in_G02a,1,0)</f>
        <v>1</v>
      </c>
      <c r="K140" s="61" t="n">
        <f aca="false">IF(K$3&lt;=in_G02a,1,0)</f>
        <v>1</v>
      </c>
      <c r="L140" s="61" t="n">
        <f aca="false">IF(L$3&lt;=in_G02a,1,0)</f>
        <v>1</v>
      </c>
      <c r="M140" s="61" t="n">
        <f aca="false">IF(M$3&lt;=in_G02a,1,0)</f>
        <v>1</v>
      </c>
      <c r="N140" s="61" t="n">
        <f aca="false">IF(N$3&lt;=in_G02a,1,0)</f>
        <v>1</v>
      </c>
      <c r="O140" s="61" t="n">
        <f aca="false">IF(O$3&lt;=in_G02a,1,0)</f>
        <v>1</v>
      </c>
      <c r="P140" s="61" t="n">
        <f aca="false">IF(P$3&lt;=in_G02a,1,0)</f>
        <v>1</v>
      </c>
      <c r="Q140" s="61" t="n">
        <f aca="false">IF(Q$3&lt;=in_G02a,1,0)</f>
        <v>1</v>
      </c>
      <c r="R140" s="61" t="n">
        <f aca="false">IF(R$3&lt;=in_G02a,1,0)</f>
        <v>1</v>
      </c>
      <c r="S140" s="61" t="n">
        <f aca="false">IF(S$3&lt;=in_G02a,1,0)</f>
        <v>1</v>
      </c>
      <c r="T140" s="61" t="n">
        <f aca="false">IF(T$3&lt;=in_G02a,1,0)</f>
        <v>1</v>
      </c>
      <c r="U140" s="61" t="n">
        <f aca="false">IF(U$3&lt;=in_G02a,1,0)</f>
        <v>1</v>
      </c>
      <c r="V140" s="61" t="n">
        <f aca="false">IF(V$3&lt;=in_G02a,1,0)</f>
        <v>1</v>
      </c>
      <c r="W140" s="61" t="n">
        <f aca="false">IF(W$3&lt;=in_G02a,1,0)</f>
        <v>1</v>
      </c>
      <c r="X140" s="61" t="n">
        <f aca="false">IF(X$3&lt;=in_G02a,1,0)</f>
        <v>1</v>
      </c>
      <c r="Y140" s="61" t="n">
        <f aca="false">IF(Y$3&lt;=in_G02a,1,0)</f>
        <v>0</v>
      </c>
      <c r="Z140" s="61" t="n">
        <f aca="false">IF(Z$3&lt;=in_G02a,1,0)</f>
        <v>0</v>
      </c>
      <c r="AA140" s="61" t="n">
        <f aca="false">IF(AA$3&lt;=in_G02a,1,0)</f>
        <v>0</v>
      </c>
      <c r="AB140" s="61" t="n">
        <f aca="false">IF(AB$3&lt;=in_G02a,1,0)</f>
        <v>0</v>
      </c>
      <c r="AC140" s="61" t="n">
        <f aca="false">IF(AC$3&lt;=in_G02a,1,0)</f>
        <v>0</v>
      </c>
      <c r="AD140" s="61" t="n">
        <f aca="false">IF(AD$3&lt;=in_G02a,1,0)</f>
        <v>0</v>
      </c>
      <c r="AE140" s="61" t="n">
        <f aca="false">IF(AE$3&lt;=in_G02a,1,0)</f>
        <v>0</v>
      </c>
      <c r="AF140" s="61" t="n">
        <f aca="false">IF(AF$3&lt;=in_G02a,1,0)</f>
        <v>0</v>
      </c>
      <c r="AG140" s="61" t="n">
        <f aca="false">IF(AG$3&lt;=in_G02a,1,0)</f>
        <v>0</v>
      </c>
      <c r="AH140" s="61" t="n">
        <f aca="false">IF(AH$3&lt;=in_G02a,1,0)</f>
        <v>0</v>
      </c>
    </row>
    <row r="141" customFormat="false" ht="15" hidden="false" customHeight="true" outlineLevel="0" collapsed="false">
      <c r="A141" s="33" t="s">
        <v>1405</v>
      </c>
      <c r="C141" s="46" t="n">
        <f aca="false">SUMPRODUCT(D141:AH141,D$5:AH$5)</f>
        <v>15000</v>
      </c>
      <c r="D141" s="52" t="n">
        <f aca="false">IF(D$3=0,in_F02*(1-in_P02),0)</f>
        <v>15000</v>
      </c>
      <c r="E141" s="52" t="n">
        <f aca="false">IF(E$3=0,in_F02*(1-in_P02),0)</f>
        <v>0</v>
      </c>
      <c r="F141" s="52" t="n">
        <f aca="false">IF(F$3=0,in_F02*(1-in_P02),0)</f>
        <v>0</v>
      </c>
      <c r="G141" s="52" t="n">
        <f aca="false">IF(G$3=0,in_F02*(1-in_P02),0)</f>
        <v>0</v>
      </c>
      <c r="H141" s="52" t="n">
        <f aca="false">IF(H$3=0,in_F02*(1-in_P02),0)</f>
        <v>0</v>
      </c>
      <c r="I141" s="52" t="n">
        <f aca="false">IF(I$3=0,in_F02*(1-in_P02),0)</f>
        <v>0</v>
      </c>
      <c r="J141" s="52" t="n">
        <f aca="false">IF(J$3=0,in_F02*(1-in_P02),0)</f>
        <v>0</v>
      </c>
      <c r="K141" s="52" t="n">
        <f aca="false">IF(K$3=0,in_F02*(1-in_P02),0)</f>
        <v>0</v>
      </c>
      <c r="L141" s="52" t="n">
        <f aca="false">IF(L$3=0,in_F02*(1-in_P02),0)</f>
        <v>0</v>
      </c>
      <c r="M141" s="52" t="n">
        <f aca="false">IF(M$3=0,in_F02*(1-in_P02),0)</f>
        <v>0</v>
      </c>
      <c r="N141" s="52" t="n">
        <f aca="false">IF(N$3=0,in_F02*(1-in_P02),0)</f>
        <v>0</v>
      </c>
      <c r="O141" s="52" t="n">
        <f aca="false">IF(O$3=0,in_F02*(1-in_P02),0)</f>
        <v>0</v>
      </c>
      <c r="P141" s="52" t="n">
        <f aca="false">IF(P$3=0,in_F02*(1-in_P02),0)</f>
        <v>0</v>
      </c>
      <c r="Q141" s="52" t="n">
        <f aca="false">IF(Q$3=0,in_F02*(1-in_P02),0)</f>
        <v>0</v>
      </c>
      <c r="R141" s="52" t="n">
        <f aca="false">IF(R$3=0,in_F02*(1-in_P02),0)</f>
        <v>0</v>
      </c>
      <c r="S141" s="52" t="n">
        <f aca="false">IF(S$3=0,in_F02*(1-in_P02),0)</f>
        <v>0</v>
      </c>
      <c r="T141" s="52" t="n">
        <f aca="false">IF(T$3=0,in_F02*(1-in_P02),0)</f>
        <v>0</v>
      </c>
      <c r="U141" s="52" t="n">
        <f aca="false">IF(U$3=0,in_F02*(1-in_P02),0)</f>
        <v>0</v>
      </c>
      <c r="V141" s="52" t="n">
        <f aca="false">IF(V$3=0,in_F02*(1-in_P02),0)</f>
        <v>0</v>
      </c>
      <c r="W141" s="52" t="n">
        <f aca="false">IF(W$3=0,in_F02*(1-in_P02),0)</f>
        <v>0</v>
      </c>
      <c r="X141" s="52" t="n">
        <f aca="false">IF(X$3=0,in_F02*(1-in_P02),0)</f>
        <v>0</v>
      </c>
      <c r="Y141" s="52" t="n">
        <f aca="false">IF(Y$3=0,in_F02*(1-in_P02),0)</f>
        <v>0</v>
      </c>
      <c r="Z141" s="52" t="n">
        <f aca="false">IF(Z$3=0,in_F02*(1-in_P02),0)</f>
        <v>0</v>
      </c>
      <c r="AA141" s="52" t="n">
        <f aca="false">IF(AA$3=0,in_F02*(1-in_P02),0)</f>
        <v>0</v>
      </c>
      <c r="AB141" s="52" t="n">
        <f aca="false">IF(AB$3=0,in_F02*(1-in_P02),0)</f>
        <v>0</v>
      </c>
      <c r="AC141" s="52" t="n">
        <f aca="false">IF(AC$3=0,in_F02*(1-in_P02),0)</f>
        <v>0</v>
      </c>
      <c r="AD141" s="52" t="n">
        <f aca="false">IF(AD$3=0,in_F02*(1-in_P02),0)</f>
        <v>0</v>
      </c>
      <c r="AE141" s="52" t="n">
        <f aca="false">IF(AE$3=0,in_F02*(1-in_P02),0)</f>
        <v>0</v>
      </c>
      <c r="AF141" s="52" t="n">
        <f aca="false">IF(AF$3=0,in_F02*(1-in_P02),0)</f>
        <v>0</v>
      </c>
      <c r="AG141" s="52" t="n">
        <f aca="false">IF(AG$3=0,in_F02*(1-in_P02),0)</f>
        <v>0</v>
      </c>
      <c r="AH141" s="52" t="n">
        <f aca="false">IF(AH$3=0,in_F02*(1-in_P02),0)</f>
        <v>0</v>
      </c>
    </row>
    <row r="142" customFormat="false" ht="15" hidden="false" customHeight="true" outlineLevel="0" collapsed="false">
      <c r="A142" s="33" t="s">
        <v>1406</v>
      </c>
      <c r="D142" s="52" t="n">
        <f aca="false">Supply!D50</f>
        <v>0</v>
      </c>
      <c r="E142" s="52" t="n">
        <f aca="false">Supply!E50</f>
        <v>1100.05358341775</v>
      </c>
      <c r="F142" s="52" t="n">
        <f aca="false">Supply!F50</f>
        <v>1100.05358341775</v>
      </c>
      <c r="G142" s="52" t="n">
        <f aca="false">Supply!G50</f>
        <v>1100.05358341775</v>
      </c>
      <c r="H142" s="52" t="n">
        <f aca="false">Supply!H50</f>
        <v>1100.05358341775</v>
      </c>
      <c r="I142" s="52" t="n">
        <f aca="false">Supply!I50</f>
        <v>1100.05358341775</v>
      </c>
      <c r="J142" s="52" t="n">
        <f aca="false">Supply!J50</f>
        <v>1100.05358341775</v>
      </c>
      <c r="K142" s="52" t="n">
        <f aca="false">Supply!K50</f>
        <v>1100.05358341775</v>
      </c>
      <c r="L142" s="52" t="n">
        <f aca="false">Supply!L50</f>
        <v>1100.05358341775</v>
      </c>
      <c r="M142" s="52" t="n">
        <f aca="false">Supply!M50</f>
        <v>1100.05358341775</v>
      </c>
      <c r="N142" s="52" t="n">
        <f aca="false">Supply!N50</f>
        <v>1100.05358341775</v>
      </c>
      <c r="O142" s="52" t="n">
        <f aca="false">Supply!O50</f>
        <v>1100.05358341775</v>
      </c>
      <c r="P142" s="52" t="n">
        <f aca="false">Supply!P50</f>
        <v>1100.05358341775</v>
      </c>
      <c r="Q142" s="52" t="n">
        <f aca="false">Supply!Q50</f>
        <v>1100.05358341775</v>
      </c>
      <c r="R142" s="52" t="n">
        <f aca="false">Supply!R50</f>
        <v>1100.05358341775</v>
      </c>
      <c r="S142" s="52" t="n">
        <f aca="false">Supply!S50</f>
        <v>2417.98356547198</v>
      </c>
      <c r="T142" s="52" t="n">
        <f aca="false">Supply!T50</f>
        <v>7053.64945179112</v>
      </c>
      <c r="U142" s="52" t="n">
        <f aca="false">Supply!U50</f>
        <v>7318.79761676571</v>
      </c>
      <c r="V142" s="52" t="n">
        <f aca="false">Supply!V50</f>
        <v>7574.77521857125</v>
      </c>
      <c r="W142" s="52" t="n">
        <f aca="false">Supply!W50</f>
        <v>7821.79252242486</v>
      </c>
      <c r="X142" s="52" t="n">
        <f aca="false">Supply!X50</f>
        <v>8060.05562167082</v>
      </c>
      <c r="Y142" s="52" t="n">
        <f aca="false">Supply!Y50</f>
        <v>8289.76651460895</v>
      </c>
      <c r="Z142" s="52" t="n">
        <f aca="false">Supply!Z50</f>
        <v>8511.12317997133</v>
      </c>
      <c r="AA142" s="52" t="n">
        <f aca="false">Supply!AA50</f>
        <v>8724.31965107008</v>
      </c>
      <c r="AB142" s="52" t="n">
        <f aca="false">Supply!AB50</f>
        <v>8929.5460886392</v>
      </c>
      <c r="AC142" s="52" t="n">
        <f aca="false">Supply!AC50</f>
        <v>9126.98885239211</v>
      </c>
      <c r="AD142" s="52" t="n">
        <f aca="false">Supply!AD50</f>
        <v>9316.83057131759</v>
      </c>
      <c r="AE142" s="52" t="n">
        <f aca="false">Supply!AE50</f>
        <v>9499.25021273513</v>
      </c>
      <c r="AF142" s="52" t="n">
        <f aca="false">Supply!AF50</f>
        <v>9674.4231501317</v>
      </c>
      <c r="AG142" s="52" t="n">
        <f aca="false">Supply!AG50</f>
        <v>9842.52122979907</v>
      </c>
      <c r="AH142" s="52" t="n">
        <f aca="false">Supply!AH50</f>
        <v>10003.7128362945</v>
      </c>
    </row>
    <row r="143" customFormat="false" ht="15" hidden="false" customHeight="true" outlineLevel="0" collapsed="false">
      <c r="A143" s="33" t="s">
        <v>1407</v>
      </c>
      <c r="D143" s="52" t="n">
        <f aca="false">0</f>
        <v>0</v>
      </c>
      <c r="E143" s="52" t="n">
        <f aca="false">0</f>
        <v>0</v>
      </c>
      <c r="F143" s="52" t="n">
        <f aca="false">0</f>
        <v>0</v>
      </c>
      <c r="G143" s="52" t="n">
        <f aca="false">0</f>
        <v>0</v>
      </c>
      <c r="H143" s="52" t="n">
        <f aca="false">0</f>
        <v>0</v>
      </c>
      <c r="I143" s="52" t="n">
        <f aca="false">0</f>
        <v>0</v>
      </c>
      <c r="J143" s="52" t="n">
        <f aca="false">0</f>
        <v>0</v>
      </c>
      <c r="K143" s="52" t="n">
        <f aca="false">0</f>
        <v>0</v>
      </c>
      <c r="L143" s="52" t="n">
        <f aca="false">0</f>
        <v>0</v>
      </c>
      <c r="M143" s="52" t="n">
        <f aca="false">0</f>
        <v>0</v>
      </c>
      <c r="N143" s="52" t="n">
        <f aca="false">0</f>
        <v>0</v>
      </c>
      <c r="O143" s="52" t="n">
        <f aca="false">0</f>
        <v>0</v>
      </c>
      <c r="P143" s="52" t="n">
        <f aca="false">0</f>
        <v>0</v>
      </c>
      <c r="Q143" s="52" t="n">
        <f aca="false">0</f>
        <v>0</v>
      </c>
      <c r="R143" s="52" t="n">
        <f aca="false">0</f>
        <v>0</v>
      </c>
      <c r="S143" s="52" t="n">
        <f aca="false">0</f>
        <v>0</v>
      </c>
      <c r="T143" s="52" t="n">
        <f aca="false">0</f>
        <v>0</v>
      </c>
      <c r="U143" s="52" t="n">
        <f aca="false">0</f>
        <v>0</v>
      </c>
      <c r="V143" s="52" t="n">
        <f aca="false">0</f>
        <v>0</v>
      </c>
      <c r="W143" s="52" t="n">
        <f aca="false">0</f>
        <v>0</v>
      </c>
      <c r="X143" s="52" t="n">
        <f aca="false">0</f>
        <v>0</v>
      </c>
      <c r="Y143" s="52" t="n">
        <f aca="false">0</f>
        <v>0</v>
      </c>
      <c r="Z143" s="52" t="n">
        <f aca="false">0</f>
        <v>0</v>
      </c>
      <c r="AA143" s="52" t="n">
        <f aca="false">0</f>
        <v>0</v>
      </c>
      <c r="AB143" s="52" t="n">
        <f aca="false">0</f>
        <v>0</v>
      </c>
      <c r="AC143" s="52" t="n">
        <f aca="false">0</f>
        <v>0</v>
      </c>
      <c r="AD143" s="52" t="n">
        <f aca="false">0</f>
        <v>0</v>
      </c>
      <c r="AE143" s="52" t="n">
        <f aca="false">0</f>
        <v>0</v>
      </c>
      <c r="AF143" s="52" t="n">
        <f aca="false">0</f>
        <v>0</v>
      </c>
      <c r="AG143" s="52" t="n">
        <f aca="false">0</f>
        <v>0</v>
      </c>
      <c r="AH143" s="52" t="n">
        <f aca="false">0</f>
        <v>0</v>
      </c>
    </row>
    <row r="144" customFormat="false" ht="15" hidden="false" customHeight="true" outlineLevel="0" collapsed="false">
      <c r="A144" s="33" t="s">
        <v>1408</v>
      </c>
      <c r="D144" s="52" t="n">
        <f aca="false">IF(D$3=0,0,in_F03*c_catch*in_F01*(1-in_P02))</f>
        <v>0</v>
      </c>
      <c r="E144" s="52" t="n">
        <f aca="false">IF(E$3=0,0,in_F03*c_catch*in_F01*(1-in_P02))</f>
        <v>13513.5135135135</v>
      </c>
      <c r="F144" s="52" t="n">
        <f aca="false">IF(F$3=0,0,in_F03*c_catch*in_F01*(1-in_P02))</f>
        <v>13513.5135135135</v>
      </c>
      <c r="G144" s="52" t="n">
        <f aca="false">IF(G$3=0,0,in_F03*c_catch*in_F01*(1-in_P02))</f>
        <v>13513.5135135135</v>
      </c>
      <c r="H144" s="52" t="n">
        <f aca="false">IF(H$3=0,0,in_F03*c_catch*in_F01*(1-in_P02))</f>
        <v>13513.5135135135</v>
      </c>
      <c r="I144" s="52" t="n">
        <f aca="false">IF(I$3=0,0,in_F03*c_catch*in_F01*(1-in_P02))</f>
        <v>13513.5135135135</v>
      </c>
      <c r="J144" s="52" t="n">
        <f aca="false">IF(J$3=0,0,in_F03*c_catch*in_F01*(1-in_P02))</f>
        <v>13513.5135135135</v>
      </c>
      <c r="K144" s="52" t="n">
        <f aca="false">IF(K$3=0,0,in_F03*c_catch*in_F01*(1-in_P02))</f>
        <v>13513.5135135135</v>
      </c>
      <c r="L144" s="52" t="n">
        <f aca="false">IF(L$3=0,0,in_F03*c_catch*in_F01*(1-in_P02))</f>
        <v>13513.5135135135</v>
      </c>
      <c r="M144" s="52" t="n">
        <f aca="false">IF(M$3=0,0,in_F03*c_catch*in_F01*(1-in_P02))</f>
        <v>13513.5135135135</v>
      </c>
      <c r="N144" s="52" t="n">
        <f aca="false">IF(N$3=0,0,in_F03*c_catch*in_F01*(1-in_P02))</f>
        <v>13513.5135135135</v>
      </c>
      <c r="O144" s="52" t="n">
        <f aca="false">IF(O$3=0,0,in_F03*c_catch*in_F01*(1-in_P02))</f>
        <v>13513.5135135135</v>
      </c>
      <c r="P144" s="52" t="n">
        <f aca="false">IF(P$3=0,0,in_F03*c_catch*in_F01*(1-in_P02))</f>
        <v>13513.5135135135</v>
      </c>
      <c r="Q144" s="52" t="n">
        <f aca="false">IF(Q$3=0,0,in_F03*c_catch*in_F01*(1-in_P02))</f>
        <v>13513.5135135135</v>
      </c>
      <c r="R144" s="52" t="n">
        <f aca="false">IF(R$3=0,0,in_F03*c_catch*in_F01*(1-in_P02))</f>
        <v>13513.5135135135</v>
      </c>
      <c r="S144" s="52" t="n">
        <f aca="false">IF(S$3=0,0,in_F03*c_catch*in_F01*(1-in_P02))</f>
        <v>13513.5135135135</v>
      </c>
      <c r="T144" s="52" t="n">
        <f aca="false">IF(T$3=0,0,in_F03*c_catch*in_F01*(1-in_P02))</f>
        <v>13513.5135135135</v>
      </c>
      <c r="U144" s="52" t="n">
        <f aca="false">IF(U$3=0,0,in_F03*c_catch*in_F01*(1-in_P02))</f>
        <v>13513.5135135135</v>
      </c>
      <c r="V144" s="52" t="n">
        <f aca="false">IF(V$3=0,0,in_F03*c_catch*in_F01*(1-in_P02))</f>
        <v>13513.5135135135</v>
      </c>
      <c r="W144" s="52" t="n">
        <f aca="false">IF(W$3=0,0,in_F03*c_catch*in_F01*(1-in_P02))</f>
        <v>13513.5135135135</v>
      </c>
      <c r="X144" s="52" t="n">
        <f aca="false">IF(X$3=0,0,in_F03*c_catch*in_F01*(1-in_P02))</f>
        <v>13513.5135135135</v>
      </c>
      <c r="Y144" s="52" t="n">
        <f aca="false">IF(Y$3=0,0,in_F03*c_catch*in_F01*(1-in_P02))</f>
        <v>13513.5135135135</v>
      </c>
      <c r="Z144" s="52" t="n">
        <f aca="false">IF(Z$3=0,0,in_F03*c_catch*in_F01*(1-in_P02))</f>
        <v>13513.5135135135</v>
      </c>
      <c r="AA144" s="52" t="n">
        <f aca="false">IF(AA$3=0,0,in_F03*c_catch*in_F01*(1-in_P02))</f>
        <v>13513.5135135135</v>
      </c>
      <c r="AB144" s="52" t="n">
        <f aca="false">IF(AB$3=0,0,in_F03*c_catch*in_F01*(1-in_P02))</f>
        <v>13513.5135135135</v>
      </c>
      <c r="AC144" s="52" t="n">
        <f aca="false">IF(AC$3=0,0,in_F03*c_catch*in_F01*(1-in_P02))</f>
        <v>13513.5135135135</v>
      </c>
      <c r="AD144" s="52" t="n">
        <f aca="false">IF(AD$3=0,0,in_F03*c_catch*in_F01*(1-in_P02))</f>
        <v>13513.5135135135</v>
      </c>
      <c r="AE144" s="52" t="n">
        <f aca="false">IF(AE$3=0,0,in_F03*c_catch*in_F01*(1-in_P02))</f>
        <v>13513.5135135135</v>
      </c>
      <c r="AF144" s="52" t="n">
        <f aca="false">IF(AF$3=0,0,in_F03*c_catch*in_F01*(1-in_P02))</f>
        <v>13513.5135135135</v>
      </c>
      <c r="AG144" s="52" t="n">
        <f aca="false">IF(AG$3=0,0,in_F03*c_catch*in_F01*(1-in_P02))</f>
        <v>13513.5135135135</v>
      </c>
      <c r="AH144" s="52" t="n">
        <f aca="false">IF(AH$3=0,0,in_F03*c_catch*in_F01*(1-in_P02))</f>
        <v>13513.5135135135</v>
      </c>
    </row>
    <row r="145" customFormat="false" ht="15" hidden="false" customHeight="true" outlineLevel="0" collapsed="false">
      <c r="A145" s="33" t="s">
        <v>1409</v>
      </c>
      <c r="D145" s="52" t="n">
        <f aca="false">D142+D143-D144</f>
        <v>0</v>
      </c>
      <c r="E145" s="52" t="n">
        <f aca="false">E142+E143-E144</f>
        <v>-12413.4599300958</v>
      </c>
      <c r="F145" s="52" t="n">
        <f aca="false">F142+F143-F144</f>
        <v>-12413.4599300958</v>
      </c>
      <c r="G145" s="52" t="n">
        <f aca="false">G142+G143-G144</f>
        <v>-12413.4599300958</v>
      </c>
      <c r="H145" s="52" t="n">
        <f aca="false">H142+H143-H144</f>
        <v>-12413.4599300958</v>
      </c>
      <c r="I145" s="52" t="n">
        <f aca="false">I142+I143-I144</f>
        <v>-12413.4599300958</v>
      </c>
      <c r="J145" s="52" t="n">
        <f aca="false">J142+J143-J144</f>
        <v>-12413.4599300958</v>
      </c>
      <c r="K145" s="52" t="n">
        <f aca="false">K142+K143-K144</f>
        <v>-12413.4599300958</v>
      </c>
      <c r="L145" s="52" t="n">
        <f aca="false">L142+L143-L144</f>
        <v>-12413.4599300958</v>
      </c>
      <c r="M145" s="52" t="n">
        <f aca="false">M142+M143-M144</f>
        <v>-12413.4599300958</v>
      </c>
      <c r="N145" s="52" t="n">
        <f aca="false">N142+N143-N144</f>
        <v>-12413.4599300958</v>
      </c>
      <c r="O145" s="52" t="n">
        <f aca="false">O142+O143-O144</f>
        <v>-12413.4599300958</v>
      </c>
      <c r="P145" s="52" t="n">
        <f aca="false">P142+P143-P144</f>
        <v>-12413.4599300958</v>
      </c>
      <c r="Q145" s="52" t="n">
        <f aca="false">Q142+Q143-Q144</f>
        <v>-12413.4599300958</v>
      </c>
      <c r="R145" s="52" t="n">
        <f aca="false">R142+R143-R144</f>
        <v>-12413.4599300958</v>
      </c>
      <c r="S145" s="52" t="n">
        <f aca="false">S142+S143-S144</f>
        <v>-11095.5299480415</v>
      </c>
      <c r="T145" s="52" t="n">
        <f aca="false">T142+T143-T144</f>
        <v>-6459.86406172239</v>
      </c>
      <c r="U145" s="52" t="n">
        <f aca="false">U142+U143-U144</f>
        <v>-6194.7158967478</v>
      </c>
      <c r="V145" s="52" t="n">
        <f aca="false">V142+V143-V144</f>
        <v>-5938.73829494227</v>
      </c>
      <c r="W145" s="52" t="n">
        <f aca="false">W142+W143-W144</f>
        <v>-5691.72099108865</v>
      </c>
      <c r="X145" s="52" t="n">
        <f aca="false">X142+X143-X144</f>
        <v>-5453.45789184269</v>
      </c>
      <c r="Y145" s="52" t="n">
        <f aca="false">Y142+Y143-Y144</f>
        <v>-5223.74699890456</v>
      </c>
      <c r="Z145" s="52" t="n">
        <f aca="false">Z142+Z143-Z144</f>
        <v>-5002.39033354218</v>
      </c>
      <c r="AA145" s="52" t="n">
        <f aca="false">AA142+AA143-AA144</f>
        <v>-4789.19386244343</v>
      </c>
      <c r="AB145" s="52" t="n">
        <f aca="false">AB142+AB143-AB144</f>
        <v>-4583.96742487432</v>
      </c>
      <c r="AC145" s="52" t="n">
        <f aca="false">AC142+AC143-AC144</f>
        <v>-4386.5246611214</v>
      </c>
      <c r="AD145" s="52" t="n">
        <f aca="false">AD142+AD143-AD144</f>
        <v>-4196.68294219592</v>
      </c>
      <c r="AE145" s="52" t="n">
        <f aca="false">AE142+AE143-AE144</f>
        <v>-4014.26330077838</v>
      </c>
      <c r="AF145" s="52" t="n">
        <f aca="false">AF142+AF143-AF144</f>
        <v>-3839.09036338181</v>
      </c>
      <c r="AG145" s="52" t="n">
        <f aca="false">AG142+AG143-AG144</f>
        <v>-3670.99228371445</v>
      </c>
      <c r="AH145" s="52" t="n">
        <f aca="false">AH142+AH143-AH144</f>
        <v>-3509.80067721897</v>
      </c>
    </row>
    <row r="146" customFormat="false" ht="15" hidden="false" customHeight="true" outlineLevel="0" collapsed="false">
      <c r="A146" s="33" t="s">
        <v>1410</v>
      </c>
      <c r="D146" s="52" t="n">
        <f aca="false">D$4*MAX(0,D145)</f>
        <v>0</v>
      </c>
      <c r="E146" s="52" t="n">
        <f aca="false">E$4*MAX(0,E145)</f>
        <v>0</v>
      </c>
      <c r="F146" s="52" t="n">
        <f aca="false">F$4*MAX(0,F145)</f>
        <v>0</v>
      </c>
      <c r="G146" s="52" t="n">
        <f aca="false">G$4*MAX(0,G145)</f>
        <v>0</v>
      </c>
      <c r="H146" s="52" t="n">
        <f aca="false">H$4*MAX(0,H145)</f>
        <v>0</v>
      </c>
      <c r="I146" s="52" t="n">
        <f aca="false">I$4*MAX(0,I145)</f>
        <v>0</v>
      </c>
      <c r="J146" s="52" t="n">
        <f aca="false">J$4*MAX(0,J145)</f>
        <v>0</v>
      </c>
      <c r="K146" s="52" t="n">
        <f aca="false">K$4*MAX(0,K145)</f>
        <v>0</v>
      </c>
      <c r="L146" s="52" t="n">
        <f aca="false">L$4*MAX(0,L145)</f>
        <v>0</v>
      </c>
      <c r="M146" s="52" t="n">
        <f aca="false">M$4*MAX(0,M145)</f>
        <v>0</v>
      </c>
      <c r="N146" s="52" t="n">
        <f aca="false">N$4*MAX(0,N145)</f>
        <v>0</v>
      </c>
      <c r="O146" s="52" t="n">
        <f aca="false">O$4*MAX(0,O145)</f>
        <v>0</v>
      </c>
      <c r="P146" s="52" t="n">
        <f aca="false">P$4*MAX(0,P145)</f>
        <v>0</v>
      </c>
      <c r="Q146" s="52" t="n">
        <f aca="false">Q$4*MAX(0,Q145)</f>
        <v>0</v>
      </c>
      <c r="R146" s="52" t="n">
        <f aca="false">R$4*MAX(0,R145)</f>
        <v>0</v>
      </c>
      <c r="S146" s="52" t="n">
        <f aca="false">S$4*MAX(0,S145)</f>
        <v>0</v>
      </c>
      <c r="T146" s="52" t="n">
        <f aca="false">T$4*MAX(0,T145)</f>
        <v>0</v>
      </c>
      <c r="U146" s="52" t="n">
        <f aca="false">U$4*MAX(0,U145)</f>
        <v>0</v>
      </c>
      <c r="V146" s="52" t="n">
        <f aca="false">V$4*MAX(0,V145)</f>
        <v>0</v>
      </c>
      <c r="W146" s="52" t="n">
        <f aca="false">W$4*MAX(0,W145)</f>
        <v>0</v>
      </c>
      <c r="X146" s="52" t="n">
        <f aca="false">X$4*MAX(0,X145)</f>
        <v>0</v>
      </c>
      <c r="Y146" s="52" t="n">
        <f aca="false">Y$4*MAX(0,Y145)</f>
        <v>0</v>
      </c>
      <c r="Z146" s="52" t="n">
        <f aca="false">Z$4*MAX(0,Z145)</f>
        <v>0</v>
      </c>
      <c r="AA146" s="52" t="n">
        <f aca="false">AA$4*MAX(0,AA145)</f>
        <v>0</v>
      </c>
      <c r="AB146" s="52" t="n">
        <f aca="false">AB$4*MAX(0,AB145)</f>
        <v>0</v>
      </c>
      <c r="AC146" s="52" t="n">
        <f aca="false">AC$4*MAX(0,AC145)</f>
        <v>0</v>
      </c>
      <c r="AD146" s="52" t="n">
        <f aca="false">AD$4*MAX(0,AD145)</f>
        <v>0</v>
      </c>
      <c r="AE146" s="52" t="n">
        <f aca="false">AE$4*MAX(0,AE145)</f>
        <v>0</v>
      </c>
      <c r="AF146" s="52" t="n">
        <f aca="false">AF$4*MAX(0,AF145)</f>
        <v>0</v>
      </c>
      <c r="AG146" s="52" t="n">
        <f aca="false">AG$4*MAX(0,AG145)</f>
        <v>0</v>
      </c>
      <c r="AH146" s="52" t="n">
        <f aca="false">AH$4*MAX(0,AH145)</f>
        <v>0</v>
      </c>
    </row>
    <row r="147" customFormat="false" ht="15" hidden="false" customHeight="true" outlineLevel="0" collapsed="false">
      <c r="A147" s="33" t="s">
        <v>1411</v>
      </c>
      <c r="C147" s="55" t="n">
        <f aca="false">SUMPRODUCT(D147:AH147,D$5:AH$5)</f>
        <v>-98388.9934416813</v>
      </c>
      <c r="D147" s="55" t="n">
        <f aca="false">(D145-D141-D146)*D140</f>
        <v>-15000</v>
      </c>
      <c r="E147" s="55" t="n">
        <f aca="false">(E145-E141-E146)*E140</f>
        <v>-12413.4599300958</v>
      </c>
      <c r="F147" s="55" t="n">
        <f aca="false">(F145-F141-F146)*F140</f>
        <v>-12413.4599300958</v>
      </c>
      <c r="G147" s="55" t="n">
        <f aca="false">(G145-G141-G146)*G140</f>
        <v>-12413.4599300958</v>
      </c>
      <c r="H147" s="55" t="n">
        <f aca="false">(H145-H141-H146)*H140</f>
        <v>-12413.4599300958</v>
      </c>
      <c r="I147" s="55" t="n">
        <f aca="false">(I145-I141-I146)*I140</f>
        <v>-12413.4599300958</v>
      </c>
      <c r="J147" s="55" t="n">
        <f aca="false">(J145-J141-J146)*J140</f>
        <v>-12413.4599300958</v>
      </c>
      <c r="K147" s="55" t="n">
        <f aca="false">(K145-K141-K146)*K140</f>
        <v>-12413.4599300958</v>
      </c>
      <c r="L147" s="55" t="n">
        <f aca="false">(L145-L141-L146)*L140</f>
        <v>-12413.4599300958</v>
      </c>
      <c r="M147" s="55" t="n">
        <f aca="false">(M145-M141-M146)*M140</f>
        <v>-12413.4599300958</v>
      </c>
      <c r="N147" s="55" t="n">
        <f aca="false">(N145-N141-N146)*N140</f>
        <v>-12413.4599300958</v>
      </c>
      <c r="O147" s="55" t="n">
        <f aca="false">(O145-O141-O146)*O140</f>
        <v>-12413.4599300958</v>
      </c>
      <c r="P147" s="55" t="n">
        <f aca="false">(P145-P141-P146)*P140</f>
        <v>-12413.4599300958</v>
      </c>
      <c r="Q147" s="55" t="n">
        <f aca="false">(Q145-Q141-Q146)*Q140</f>
        <v>-12413.4599300958</v>
      </c>
      <c r="R147" s="55" t="n">
        <f aca="false">(R145-R141-R146)*R140</f>
        <v>-12413.4599300958</v>
      </c>
      <c r="S147" s="55" t="n">
        <f aca="false">(S145-S141-S146)*S140</f>
        <v>-11095.5299480415</v>
      </c>
      <c r="T147" s="55" t="n">
        <f aca="false">(T145-T141-T146)*T140</f>
        <v>-6459.86406172239</v>
      </c>
      <c r="U147" s="55" t="n">
        <f aca="false">(U145-U141-U146)*U140</f>
        <v>-6194.7158967478</v>
      </c>
      <c r="V147" s="55" t="n">
        <f aca="false">(V145-V141-V146)*V140</f>
        <v>-5938.73829494227</v>
      </c>
      <c r="W147" s="55" t="n">
        <f aca="false">(W145-W141-W146)*W140</f>
        <v>-5691.72099108865</v>
      </c>
      <c r="X147" s="55" t="n">
        <f aca="false">(X145-X141-X146)*X140</f>
        <v>-5453.45789184269</v>
      </c>
      <c r="Y147" s="55" t="n">
        <f aca="false">(Y145-Y141-Y146)*Y140</f>
        <v>-0</v>
      </c>
      <c r="Z147" s="55" t="n">
        <f aca="false">(Z145-Z141-Z146)*Z140</f>
        <v>-0</v>
      </c>
      <c r="AA147" s="55" t="n">
        <f aca="false">(AA145-AA141-AA146)*AA140</f>
        <v>-0</v>
      </c>
      <c r="AB147" s="55" t="n">
        <f aca="false">(AB145-AB141-AB146)*AB140</f>
        <v>-0</v>
      </c>
      <c r="AC147" s="55" t="n">
        <f aca="false">(AC145-AC141-AC146)*AC140</f>
        <v>-0</v>
      </c>
      <c r="AD147" s="55" t="n">
        <f aca="false">(AD145-AD141-AD146)*AD140</f>
        <v>-0</v>
      </c>
      <c r="AE147" s="55" t="n">
        <f aca="false">(AE145-AE141-AE146)*AE140</f>
        <v>-0</v>
      </c>
      <c r="AF147" s="55" t="n">
        <f aca="false">(AF145-AF141-AF146)*AF140</f>
        <v>-0</v>
      </c>
      <c r="AG147" s="55" t="n">
        <f aca="false">(AG145-AG141-AG146)*AG140</f>
        <v>-0</v>
      </c>
      <c r="AH147" s="55" t="n">
        <f aca="false">(AH145-AH141-AH146)*AH140</f>
        <v>-0</v>
      </c>
    </row>
    <row r="148" customFormat="false" ht="15" hidden="false" customHeight="true" outlineLevel="0" collapsed="false">
      <c r="A148" s="33" t="s">
        <v>1412</v>
      </c>
      <c r="C148" s="46" t="n">
        <f aca="false">SUMPRODUCT(D148:AH148,D$5:AH$5)</f>
        <v>0</v>
      </c>
      <c r="D148" s="52" t="n">
        <f aca="false">0</f>
        <v>0</v>
      </c>
      <c r="E148" s="52" t="n">
        <f aca="false">0</f>
        <v>0</v>
      </c>
      <c r="F148" s="52" t="n">
        <f aca="false">0</f>
        <v>0</v>
      </c>
      <c r="G148" s="52" t="n">
        <f aca="false">0</f>
        <v>0</v>
      </c>
      <c r="H148" s="52" t="n">
        <f aca="false">0</f>
        <v>0</v>
      </c>
      <c r="I148" s="52" t="n">
        <f aca="false">0</f>
        <v>0</v>
      </c>
      <c r="J148" s="52" t="n">
        <f aca="false">0</f>
        <v>0</v>
      </c>
      <c r="K148" s="52" t="n">
        <f aca="false">0</f>
        <v>0</v>
      </c>
      <c r="L148" s="52" t="n">
        <f aca="false">0</f>
        <v>0</v>
      </c>
      <c r="M148" s="52" t="n">
        <f aca="false">0</f>
        <v>0</v>
      </c>
      <c r="N148" s="52" t="n">
        <f aca="false">0</f>
        <v>0</v>
      </c>
      <c r="O148" s="52" t="n">
        <f aca="false">0</f>
        <v>0</v>
      </c>
      <c r="P148" s="52" t="n">
        <f aca="false">0</f>
        <v>0</v>
      </c>
      <c r="Q148" s="52" t="n">
        <f aca="false">0</f>
        <v>0</v>
      </c>
      <c r="R148" s="52" t="n">
        <f aca="false">0</f>
        <v>0</v>
      </c>
      <c r="S148" s="52" t="n">
        <f aca="false">0</f>
        <v>0</v>
      </c>
      <c r="T148" s="52" t="n">
        <f aca="false">0</f>
        <v>0</v>
      </c>
      <c r="U148" s="52" t="n">
        <f aca="false">0</f>
        <v>0</v>
      </c>
      <c r="V148" s="52" t="n">
        <f aca="false">0</f>
        <v>0</v>
      </c>
      <c r="W148" s="52" t="n">
        <f aca="false">0</f>
        <v>0</v>
      </c>
      <c r="X148" s="52" t="n">
        <f aca="false">0</f>
        <v>0</v>
      </c>
      <c r="Y148" s="52" t="n">
        <f aca="false">0</f>
        <v>0</v>
      </c>
      <c r="Z148" s="52" t="n">
        <f aca="false">0</f>
        <v>0</v>
      </c>
      <c r="AA148" s="52" t="n">
        <f aca="false">0</f>
        <v>0</v>
      </c>
      <c r="AB148" s="52" t="n">
        <f aca="false">0</f>
        <v>0</v>
      </c>
      <c r="AC148" s="52" t="n">
        <f aca="false">0</f>
        <v>0</v>
      </c>
      <c r="AD148" s="52" t="n">
        <f aca="false">0</f>
        <v>0</v>
      </c>
      <c r="AE148" s="52" t="n">
        <f aca="false">0</f>
        <v>0</v>
      </c>
      <c r="AF148" s="52" t="n">
        <f aca="false">0</f>
        <v>0</v>
      </c>
      <c r="AG148" s="52" t="n">
        <f aca="false">0</f>
        <v>0</v>
      </c>
      <c r="AH148" s="52" t="n">
        <f aca="false">0</f>
        <v>0</v>
      </c>
    </row>
    <row r="149" customFormat="false" ht="15" hidden="false" customHeight="true" outlineLevel="0" collapsed="false">
      <c r="A149" s="33" t="s">
        <v>1413</v>
      </c>
      <c r="C149" s="46" t="n">
        <f aca="false">SUMPRODUCT(D149:AH149,D$5:AH$5)</f>
        <v>11540.081937562</v>
      </c>
      <c r="D149" s="52" t="n">
        <f aca="false">D142*D140</f>
        <v>0</v>
      </c>
      <c r="E149" s="52" t="n">
        <f aca="false">E142*E140</f>
        <v>1100.05358341775</v>
      </c>
      <c r="F149" s="52" t="n">
        <f aca="false">F142*F140</f>
        <v>1100.05358341775</v>
      </c>
      <c r="G149" s="52" t="n">
        <f aca="false">G142*G140</f>
        <v>1100.05358341775</v>
      </c>
      <c r="H149" s="52" t="n">
        <f aca="false">H142*H140</f>
        <v>1100.05358341775</v>
      </c>
      <c r="I149" s="52" t="n">
        <f aca="false">I142*I140</f>
        <v>1100.05358341775</v>
      </c>
      <c r="J149" s="52" t="n">
        <f aca="false">J142*J140</f>
        <v>1100.05358341775</v>
      </c>
      <c r="K149" s="52" t="n">
        <f aca="false">K142*K140</f>
        <v>1100.05358341775</v>
      </c>
      <c r="L149" s="52" t="n">
        <f aca="false">L142*L140</f>
        <v>1100.05358341775</v>
      </c>
      <c r="M149" s="52" t="n">
        <f aca="false">M142*M140</f>
        <v>1100.05358341775</v>
      </c>
      <c r="N149" s="52" t="n">
        <f aca="false">N142*N140</f>
        <v>1100.05358341775</v>
      </c>
      <c r="O149" s="52" t="n">
        <f aca="false">O142*O140</f>
        <v>1100.05358341775</v>
      </c>
      <c r="P149" s="52" t="n">
        <f aca="false">P142*P140</f>
        <v>1100.05358341775</v>
      </c>
      <c r="Q149" s="52" t="n">
        <f aca="false">Q142*Q140</f>
        <v>1100.05358341775</v>
      </c>
      <c r="R149" s="52" t="n">
        <f aca="false">R142*R140</f>
        <v>1100.05358341775</v>
      </c>
      <c r="S149" s="52" t="n">
        <f aca="false">S142*S140</f>
        <v>2417.98356547198</v>
      </c>
      <c r="T149" s="52" t="n">
        <f aca="false">T142*T140</f>
        <v>7053.64945179112</v>
      </c>
      <c r="U149" s="52" t="n">
        <f aca="false">U142*U140</f>
        <v>7318.79761676571</v>
      </c>
      <c r="V149" s="52" t="n">
        <f aca="false">V142*V140</f>
        <v>7574.77521857125</v>
      </c>
      <c r="W149" s="52" t="n">
        <f aca="false">W142*W140</f>
        <v>7821.79252242486</v>
      </c>
      <c r="X149" s="52" t="n">
        <f aca="false">X142*X140</f>
        <v>8060.05562167082</v>
      </c>
      <c r="Y149" s="52" t="n">
        <f aca="false">Y142*Y140</f>
        <v>0</v>
      </c>
      <c r="Z149" s="52" t="n">
        <f aca="false">Z142*Z140</f>
        <v>0</v>
      </c>
      <c r="AA149" s="52" t="n">
        <f aca="false">AA142*AA140</f>
        <v>0</v>
      </c>
      <c r="AB149" s="52" t="n">
        <f aca="false">AB142*AB140</f>
        <v>0</v>
      </c>
      <c r="AC149" s="52" t="n">
        <f aca="false">AC142*AC140</f>
        <v>0</v>
      </c>
      <c r="AD149" s="52" t="n">
        <f aca="false">AD142*AD140</f>
        <v>0</v>
      </c>
      <c r="AE149" s="52" t="n">
        <f aca="false">AE142*AE140</f>
        <v>0</v>
      </c>
      <c r="AF149" s="52" t="n">
        <f aca="false">AF142*AF140</f>
        <v>0</v>
      </c>
      <c r="AG149" s="52" t="n">
        <f aca="false">AG142*AG140</f>
        <v>0</v>
      </c>
      <c r="AH149" s="52" t="n">
        <f aca="false">AH142*AH140</f>
        <v>0</v>
      </c>
    </row>
    <row r="151" customFormat="false" ht="15" hidden="false" customHeight="true" outlineLevel="0" collapsed="false">
      <c r="A151" s="53" t="s">
        <v>1424</v>
      </c>
      <c r="B151" s="58" t="s">
        <v>1403</v>
      </c>
      <c r="C151" s="59" t="n">
        <f aca="false">in_G02a</f>
        <v>20</v>
      </c>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row>
    <row r="152" customFormat="false" ht="15" hidden="false" customHeight="true" outlineLevel="0" collapsed="false">
      <c r="A152" s="33" t="s">
        <v>1404</v>
      </c>
      <c r="D152" s="61" t="n">
        <f aca="false">IF(D$3&lt;=in_G02a,1,0)</f>
        <v>1</v>
      </c>
      <c r="E152" s="61" t="n">
        <f aca="false">IF(E$3&lt;=in_G02a,1,0)</f>
        <v>1</v>
      </c>
      <c r="F152" s="61" t="n">
        <f aca="false">IF(F$3&lt;=in_G02a,1,0)</f>
        <v>1</v>
      </c>
      <c r="G152" s="61" t="n">
        <f aca="false">IF(G$3&lt;=in_G02a,1,0)</f>
        <v>1</v>
      </c>
      <c r="H152" s="61" t="n">
        <f aca="false">IF(H$3&lt;=in_G02a,1,0)</f>
        <v>1</v>
      </c>
      <c r="I152" s="61" t="n">
        <f aca="false">IF(I$3&lt;=in_G02a,1,0)</f>
        <v>1</v>
      </c>
      <c r="J152" s="61" t="n">
        <f aca="false">IF(J$3&lt;=in_G02a,1,0)</f>
        <v>1</v>
      </c>
      <c r="K152" s="61" t="n">
        <f aca="false">IF(K$3&lt;=in_G02a,1,0)</f>
        <v>1</v>
      </c>
      <c r="L152" s="61" t="n">
        <f aca="false">IF(L$3&lt;=in_G02a,1,0)</f>
        <v>1</v>
      </c>
      <c r="M152" s="61" t="n">
        <f aca="false">IF(M$3&lt;=in_G02a,1,0)</f>
        <v>1</v>
      </c>
      <c r="N152" s="61" t="n">
        <f aca="false">IF(N$3&lt;=in_G02a,1,0)</f>
        <v>1</v>
      </c>
      <c r="O152" s="61" t="n">
        <f aca="false">IF(O$3&lt;=in_G02a,1,0)</f>
        <v>1</v>
      </c>
      <c r="P152" s="61" t="n">
        <f aca="false">IF(P$3&lt;=in_G02a,1,0)</f>
        <v>1</v>
      </c>
      <c r="Q152" s="61" t="n">
        <f aca="false">IF(Q$3&lt;=in_G02a,1,0)</f>
        <v>1</v>
      </c>
      <c r="R152" s="61" t="n">
        <f aca="false">IF(R$3&lt;=in_G02a,1,0)</f>
        <v>1</v>
      </c>
      <c r="S152" s="61" t="n">
        <f aca="false">IF(S$3&lt;=in_G02a,1,0)</f>
        <v>1</v>
      </c>
      <c r="T152" s="61" t="n">
        <f aca="false">IF(T$3&lt;=in_G02a,1,0)</f>
        <v>1</v>
      </c>
      <c r="U152" s="61" t="n">
        <f aca="false">IF(U$3&lt;=in_G02a,1,0)</f>
        <v>1</v>
      </c>
      <c r="V152" s="61" t="n">
        <f aca="false">IF(V$3&lt;=in_G02a,1,0)</f>
        <v>1</v>
      </c>
      <c r="W152" s="61" t="n">
        <f aca="false">IF(W$3&lt;=in_G02a,1,0)</f>
        <v>1</v>
      </c>
      <c r="X152" s="61" t="n">
        <f aca="false">IF(X$3&lt;=in_G02a,1,0)</f>
        <v>1</v>
      </c>
      <c r="Y152" s="61" t="n">
        <f aca="false">IF(Y$3&lt;=in_G02a,1,0)</f>
        <v>0</v>
      </c>
      <c r="Z152" s="61" t="n">
        <f aca="false">IF(Z$3&lt;=in_G02a,1,0)</f>
        <v>0</v>
      </c>
      <c r="AA152" s="61" t="n">
        <f aca="false">IF(AA$3&lt;=in_G02a,1,0)</f>
        <v>0</v>
      </c>
      <c r="AB152" s="61" t="n">
        <f aca="false">IF(AB$3&lt;=in_G02a,1,0)</f>
        <v>0</v>
      </c>
      <c r="AC152" s="61" t="n">
        <f aca="false">IF(AC$3&lt;=in_G02a,1,0)</f>
        <v>0</v>
      </c>
      <c r="AD152" s="61" t="n">
        <f aca="false">IF(AD$3&lt;=in_G02a,1,0)</f>
        <v>0</v>
      </c>
      <c r="AE152" s="61" t="n">
        <f aca="false">IF(AE$3&lt;=in_G02a,1,0)</f>
        <v>0</v>
      </c>
      <c r="AF152" s="61" t="n">
        <f aca="false">IF(AF$3&lt;=in_G02a,1,0)</f>
        <v>0</v>
      </c>
      <c r="AG152" s="61" t="n">
        <f aca="false">IF(AG$3&lt;=in_G02a,1,0)</f>
        <v>0</v>
      </c>
      <c r="AH152" s="61" t="n">
        <f aca="false">IF(AH$3&lt;=in_G02a,1,0)</f>
        <v>0</v>
      </c>
    </row>
    <row r="153" customFormat="false" ht="15" hidden="false" customHeight="true" outlineLevel="0" collapsed="false">
      <c r="A153" s="33" t="s">
        <v>1405</v>
      </c>
      <c r="C153" s="46" t="n">
        <f aca="false">SUMPRODUCT(D153:AH153,D$5:AH$5)</f>
        <v>0</v>
      </c>
      <c r="D153" s="52" t="n">
        <f aca="false">0</f>
        <v>0</v>
      </c>
      <c r="E153" s="52" t="n">
        <f aca="false">0</f>
        <v>0</v>
      </c>
      <c r="F153" s="52" t="n">
        <f aca="false">0</f>
        <v>0</v>
      </c>
      <c r="G153" s="52" t="n">
        <f aca="false">0</f>
        <v>0</v>
      </c>
      <c r="H153" s="52" t="n">
        <f aca="false">0</f>
        <v>0</v>
      </c>
      <c r="I153" s="52" t="n">
        <f aca="false">0</f>
        <v>0</v>
      </c>
      <c r="J153" s="52" t="n">
        <f aca="false">0</f>
        <v>0</v>
      </c>
      <c r="K153" s="52" t="n">
        <f aca="false">0</f>
        <v>0</v>
      </c>
      <c r="L153" s="52" t="n">
        <f aca="false">0</f>
        <v>0</v>
      </c>
      <c r="M153" s="52" t="n">
        <f aca="false">0</f>
        <v>0</v>
      </c>
      <c r="N153" s="52" t="n">
        <f aca="false">0</f>
        <v>0</v>
      </c>
      <c r="O153" s="52" t="n">
        <f aca="false">0</f>
        <v>0</v>
      </c>
      <c r="P153" s="52" t="n">
        <f aca="false">0</f>
        <v>0</v>
      </c>
      <c r="Q153" s="52" t="n">
        <f aca="false">0</f>
        <v>0</v>
      </c>
      <c r="R153" s="52" t="n">
        <f aca="false">0</f>
        <v>0</v>
      </c>
      <c r="S153" s="52" t="n">
        <f aca="false">0</f>
        <v>0</v>
      </c>
      <c r="T153" s="52" t="n">
        <f aca="false">0</f>
        <v>0</v>
      </c>
      <c r="U153" s="52" t="n">
        <f aca="false">0</f>
        <v>0</v>
      </c>
      <c r="V153" s="52" t="n">
        <f aca="false">0</f>
        <v>0</v>
      </c>
      <c r="W153" s="52" t="n">
        <f aca="false">0</f>
        <v>0</v>
      </c>
      <c r="X153" s="52" t="n">
        <f aca="false">0</f>
        <v>0</v>
      </c>
      <c r="Y153" s="52" t="n">
        <f aca="false">0</f>
        <v>0</v>
      </c>
      <c r="Z153" s="52" t="n">
        <f aca="false">0</f>
        <v>0</v>
      </c>
      <c r="AA153" s="52" t="n">
        <f aca="false">0</f>
        <v>0</v>
      </c>
      <c r="AB153" s="52" t="n">
        <f aca="false">0</f>
        <v>0</v>
      </c>
      <c r="AC153" s="52" t="n">
        <f aca="false">0</f>
        <v>0</v>
      </c>
      <c r="AD153" s="52" t="n">
        <f aca="false">0</f>
        <v>0</v>
      </c>
      <c r="AE153" s="52" t="n">
        <f aca="false">0</f>
        <v>0</v>
      </c>
      <c r="AF153" s="52" t="n">
        <f aca="false">0</f>
        <v>0</v>
      </c>
      <c r="AG153" s="52" t="n">
        <f aca="false">0</f>
        <v>0</v>
      </c>
      <c r="AH153" s="52" t="n">
        <f aca="false">0</f>
        <v>0</v>
      </c>
    </row>
    <row r="154" customFormat="false" ht="15" hidden="false" customHeight="true" outlineLevel="0" collapsed="false">
      <c r="A154" s="33" t="s">
        <v>1406</v>
      </c>
      <c r="D154" s="52" t="n">
        <f aca="false">0</f>
        <v>0</v>
      </c>
      <c r="E154" s="52" t="n">
        <f aca="false">0</f>
        <v>0</v>
      </c>
      <c r="F154" s="52" t="n">
        <f aca="false">0</f>
        <v>0</v>
      </c>
      <c r="G154" s="52" t="n">
        <f aca="false">0</f>
        <v>0</v>
      </c>
      <c r="H154" s="52" t="n">
        <f aca="false">0</f>
        <v>0</v>
      </c>
      <c r="I154" s="52" t="n">
        <f aca="false">0</f>
        <v>0</v>
      </c>
      <c r="J154" s="52" t="n">
        <f aca="false">0</f>
        <v>0</v>
      </c>
      <c r="K154" s="52" t="n">
        <f aca="false">0</f>
        <v>0</v>
      </c>
      <c r="L154" s="52" t="n">
        <f aca="false">0</f>
        <v>0</v>
      </c>
      <c r="M154" s="52" t="n">
        <f aca="false">0</f>
        <v>0</v>
      </c>
      <c r="N154" s="52" t="n">
        <f aca="false">0</f>
        <v>0</v>
      </c>
      <c r="O154" s="52" t="n">
        <f aca="false">0</f>
        <v>0</v>
      </c>
      <c r="P154" s="52" t="n">
        <f aca="false">0</f>
        <v>0</v>
      </c>
      <c r="Q154" s="52" t="n">
        <f aca="false">0</f>
        <v>0</v>
      </c>
      <c r="R154" s="52" t="n">
        <f aca="false">0</f>
        <v>0</v>
      </c>
      <c r="S154" s="52" t="n">
        <f aca="false">0</f>
        <v>0</v>
      </c>
      <c r="T154" s="52" t="n">
        <f aca="false">0</f>
        <v>0</v>
      </c>
      <c r="U154" s="52" t="n">
        <f aca="false">0</f>
        <v>0</v>
      </c>
      <c r="V154" s="52" t="n">
        <f aca="false">0</f>
        <v>0</v>
      </c>
      <c r="W154" s="52" t="n">
        <f aca="false">0</f>
        <v>0</v>
      </c>
      <c r="X154" s="52" t="n">
        <f aca="false">0</f>
        <v>0</v>
      </c>
      <c r="Y154" s="52" t="n">
        <f aca="false">0</f>
        <v>0</v>
      </c>
      <c r="Z154" s="52" t="n">
        <f aca="false">0</f>
        <v>0</v>
      </c>
      <c r="AA154" s="52" t="n">
        <f aca="false">0</f>
        <v>0</v>
      </c>
      <c r="AB154" s="52" t="n">
        <f aca="false">0</f>
        <v>0</v>
      </c>
      <c r="AC154" s="52" t="n">
        <f aca="false">0</f>
        <v>0</v>
      </c>
      <c r="AD154" s="52" t="n">
        <f aca="false">0</f>
        <v>0</v>
      </c>
      <c r="AE154" s="52" t="n">
        <f aca="false">0</f>
        <v>0</v>
      </c>
      <c r="AF154" s="52" t="n">
        <f aca="false">0</f>
        <v>0</v>
      </c>
      <c r="AG154" s="52" t="n">
        <f aca="false">0</f>
        <v>0</v>
      </c>
      <c r="AH154" s="52" t="n">
        <f aca="false">0</f>
        <v>0</v>
      </c>
    </row>
    <row r="155" customFormat="false" ht="15" hidden="false" customHeight="true" outlineLevel="0" collapsed="false">
      <c r="A155" s="33" t="s">
        <v>1407</v>
      </c>
      <c r="D155" s="52" t="n">
        <f aca="false">IF(D$3=0,0,(1-in_N05)*in_H05*c_rec0)</f>
        <v>0</v>
      </c>
      <c r="E155" s="52" t="n">
        <f aca="false">IF(E$3=0,0,(1-in_N05)*in_H05*c_rec0)</f>
        <v>7840.34359060793</v>
      </c>
      <c r="F155" s="52" t="n">
        <f aca="false">IF(F$3=0,0,(1-in_N05)*in_H05*c_rec0)</f>
        <v>7840.34359060793</v>
      </c>
      <c r="G155" s="52" t="n">
        <f aca="false">IF(G$3=0,0,(1-in_N05)*in_H05*c_rec0)</f>
        <v>7840.34359060793</v>
      </c>
      <c r="H155" s="52" t="n">
        <f aca="false">IF(H$3=0,0,(1-in_N05)*in_H05*c_rec0)</f>
        <v>7840.34359060793</v>
      </c>
      <c r="I155" s="52" t="n">
        <f aca="false">IF(I$3=0,0,(1-in_N05)*in_H05*c_rec0)</f>
        <v>7840.34359060793</v>
      </c>
      <c r="J155" s="52" t="n">
        <f aca="false">IF(J$3=0,0,(1-in_N05)*in_H05*c_rec0)</f>
        <v>7840.34359060793</v>
      </c>
      <c r="K155" s="52" t="n">
        <f aca="false">IF(K$3=0,0,(1-in_N05)*in_H05*c_rec0)</f>
        <v>7840.34359060793</v>
      </c>
      <c r="L155" s="52" t="n">
        <f aca="false">IF(L$3=0,0,(1-in_N05)*in_H05*c_rec0)</f>
        <v>7840.34359060793</v>
      </c>
      <c r="M155" s="52" t="n">
        <f aca="false">IF(M$3=0,0,(1-in_N05)*in_H05*c_rec0)</f>
        <v>7840.34359060793</v>
      </c>
      <c r="N155" s="52" t="n">
        <f aca="false">IF(N$3=0,0,(1-in_N05)*in_H05*c_rec0)</f>
        <v>7840.34359060793</v>
      </c>
      <c r="O155" s="52" t="n">
        <f aca="false">IF(O$3=0,0,(1-in_N05)*in_H05*c_rec0)</f>
        <v>7840.34359060793</v>
      </c>
      <c r="P155" s="52" t="n">
        <f aca="false">IF(P$3=0,0,(1-in_N05)*in_H05*c_rec0)</f>
        <v>7840.34359060793</v>
      </c>
      <c r="Q155" s="52" t="n">
        <f aca="false">IF(Q$3=0,0,(1-in_N05)*in_H05*c_rec0)</f>
        <v>7840.34359060793</v>
      </c>
      <c r="R155" s="52" t="n">
        <f aca="false">IF(R$3=0,0,(1-in_N05)*in_H05*c_rec0)</f>
        <v>7840.34359060793</v>
      </c>
      <c r="S155" s="52" t="n">
        <f aca="false">IF(S$3=0,0,(1-in_N05)*in_H05*c_rec0)</f>
        <v>7840.34359060793</v>
      </c>
      <c r="T155" s="52" t="n">
        <f aca="false">IF(T$3=0,0,(1-in_N05)*in_H05*c_rec0)</f>
        <v>7840.34359060793</v>
      </c>
      <c r="U155" s="52" t="n">
        <f aca="false">IF(U$3=0,0,(1-in_N05)*in_H05*c_rec0)</f>
        <v>7840.34359060793</v>
      </c>
      <c r="V155" s="52" t="n">
        <f aca="false">IF(V$3=0,0,(1-in_N05)*in_H05*c_rec0)</f>
        <v>7840.34359060793</v>
      </c>
      <c r="W155" s="52" t="n">
        <f aca="false">IF(W$3=0,0,(1-in_N05)*in_H05*c_rec0)</f>
        <v>7840.34359060793</v>
      </c>
      <c r="X155" s="52" t="n">
        <f aca="false">IF(X$3=0,0,(1-in_N05)*in_H05*c_rec0)</f>
        <v>7840.34359060793</v>
      </c>
      <c r="Y155" s="52" t="n">
        <f aca="false">IF(Y$3=0,0,(1-in_N05)*in_H05*c_rec0)</f>
        <v>7840.34359060793</v>
      </c>
      <c r="Z155" s="52" t="n">
        <f aca="false">IF(Z$3=0,0,(1-in_N05)*in_H05*c_rec0)</f>
        <v>7840.34359060793</v>
      </c>
      <c r="AA155" s="52" t="n">
        <f aca="false">IF(AA$3=0,0,(1-in_N05)*in_H05*c_rec0)</f>
        <v>7840.34359060793</v>
      </c>
      <c r="AB155" s="52" t="n">
        <f aca="false">IF(AB$3=0,0,(1-in_N05)*in_H05*c_rec0)</f>
        <v>7840.34359060793</v>
      </c>
      <c r="AC155" s="52" t="n">
        <f aca="false">IF(AC$3=0,0,(1-in_N05)*in_H05*c_rec0)</f>
        <v>7840.34359060793</v>
      </c>
      <c r="AD155" s="52" t="n">
        <f aca="false">IF(AD$3=0,0,(1-in_N05)*in_H05*c_rec0)</f>
        <v>7840.34359060793</v>
      </c>
      <c r="AE155" s="52" t="n">
        <f aca="false">IF(AE$3=0,0,(1-in_N05)*in_H05*c_rec0)</f>
        <v>7840.34359060793</v>
      </c>
      <c r="AF155" s="52" t="n">
        <f aca="false">IF(AF$3=0,0,(1-in_N05)*in_H05*c_rec0)</f>
        <v>7840.34359060793</v>
      </c>
      <c r="AG155" s="52" t="n">
        <f aca="false">IF(AG$3=0,0,(1-in_N05)*in_H05*c_rec0)</f>
        <v>7840.34359060793</v>
      </c>
      <c r="AH155" s="52" t="n">
        <f aca="false">IF(AH$3=0,0,(1-in_N05)*in_H05*c_rec0)</f>
        <v>7840.34359060793</v>
      </c>
    </row>
    <row r="156" customFormat="false" ht="15" hidden="false" customHeight="true" outlineLevel="0" collapsed="false">
      <c r="A156" s="33" t="s">
        <v>1408</v>
      </c>
      <c r="D156" s="52" t="n">
        <f aca="false">IF(D$3=0,0,(1-in_N05)*c_premium)</f>
        <v>0</v>
      </c>
      <c r="E156" s="52" t="n">
        <f aca="false">IF(E$3=0,0,(1-in_N05)*c_premium)</f>
        <v>7629.27253117684</v>
      </c>
      <c r="F156" s="52" t="n">
        <f aca="false">IF(F$3=0,0,(1-in_N05)*c_premium)</f>
        <v>7629.27253117684</v>
      </c>
      <c r="G156" s="52" t="n">
        <f aca="false">IF(G$3=0,0,(1-in_N05)*c_premium)</f>
        <v>7629.27253117684</v>
      </c>
      <c r="H156" s="52" t="n">
        <f aca="false">IF(H$3=0,0,(1-in_N05)*c_premium)</f>
        <v>7629.27253117684</v>
      </c>
      <c r="I156" s="52" t="n">
        <f aca="false">IF(I$3=0,0,(1-in_N05)*c_premium)</f>
        <v>7629.27253117684</v>
      </c>
      <c r="J156" s="52" t="n">
        <f aca="false">IF(J$3=0,0,(1-in_N05)*c_premium)</f>
        <v>7629.27253117684</v>
      </c>
      <c r="K156" s="52" t="n">
        <f aca="false">IF(K$3=0,0,(1-in_N05)*c_premium)</f>
        <v>7629.27253117684</v>
      </c>
      <c r="L156" s="52" t="n">
        <f aca="false">IF(L$3=0,0,(1-in_N05)*c_premium)</f>
        <v>7629.27253117684</v>
      </c>
      <c r="M156" s="52" t="n">
        <f aca="false">IF(M$3=0,0,(1-in_N05)*c_premium)</f>
        <v>7629.27253117684</v>
      </c>
      <c r="N156" s="52" t="n">
        <f aca="false">IF(N$3=0,0,(1-in_N05)*c_premium)</f>
        <v>7629.27253117684</v>
      </c>
      <c r="O156" s="52" t="n">
        <f aca="false">IF(O$3=0,0,(1-in_N05)*c_premium)</f>
        <v>7629.27253117684</v>
      </c>
      <c r="P156" s="52" t="n">
        <f aca="false">IF(P$3=0,0,(1-in_N05)*c_premium)</f>
        <v>7629.27253117684</v>
      </c>
      <c r="Q156" s="52" t="n">
        <f aca="false">IF(Q$3=0,0,(1-in_N05)*c_premium)</f>
        <v>7629.27253117684</v>
      </c>
      <c r="R156" s="52" t="n">
        <f aca="false">IF(R$3=0,0,(1-in_N05)*c_premium)</f>
        <v>7629.27253117684</v>
      </c>
      <c r="S156" s="52" t="n">
        <f aca="false">IF(S$3=0,0,(1-in_N05)*c_premium)</f>
        <v>7629.27253117684</v>
      </c>
      <c r="T156" s="52" t="n">
        <f aca="false">IF(T$3=0,0,(1-in_N05)*c_premium)</f>
        <v>7629.27253117684</v>
      </c>
      <c r="U156" s="52" t="n">
        <f aca="false">IF(U$3=0,0,(1-in_N05)*c_premium)</f>
        <v>7629.27253117684</v>
      </c>
      <c r="V156" s="52" t="n">
        <f aca="false">IF(V$3=0,0,(1-in_N05)*c_premium)</f>
        <v>7629.27253117684</v>
      </c>
      <c r="W156" s="52" t="n">
        <f aca="false">IF(W$3=0,0,(1-in_N05)*c_premium)</f>
        <v>7629.27253117684</v>
      </c>
      <c r="X156" s="52" t="n">
        <f aca="false">IF(X$3=0,0,(1-in_N05)*c_premium)</f>
        <v>7629.27253117684</v>
      </c>
      <c r="Y156" s="52" t="n">
        <f aca="false">IF(Y$3=0,0,(1-in_N05)*c_premium)</f>
        <v>7629.27253117684</v>
      </c>
      <c r="Z156" s="52" t="n">
        <f aca="false">IF(Z$3=0,0,(1-in_N05)*c_premium)</f>
        <v>7629.27253117684</v>
      </c>
      <c r="AA156" s="52" t="n">
        <f aca="false">IF(AA$3=0,0,(1-in_N05)*c_premium)</f>
        <v>7629.27253117684</v>
      </c>
      <c r="AB156" s="52" t="n">
        <f aca="false">IF(AB$3=0,0,(1-in_N05)*c_premium)</f>
        <v>7629.27253117684</v>
      </c>
      <c r="AC156" s="52" t="n">
        <f aca="false">IF(AC$3=0,0,(1-in_N05)*c_premium)</f>
        <v>7629.27253117684</v>
      </c>
      <c r="AD156" s="52" t="n">
        <f aca="false">IF(AD$3=0,0,(1-in_N05)*c_premium)</f>
        <v>7629.27253117684</v>
      </c>
      <c r="AE156" s="52" t="n">
        <f aca="false">IF(AE$3=0,0,(1-in_N05)*c_premium)</f>
        <v>7629.27253117684</v>
      </c>
      <c r="AF156" s="52" t="n">
        <f aca="false">IF(AF$3=0,0,(1-in_N05)*c_premium)</f>
        <v>7629.27253117684</v>
      </c>
      <c r="AG156" s="52" t="n">
        <f aca="false">IF(AG$3=0,0,(1-in_N05)*c_premium)</f>
        <v>7629.27253117684</v>
      </c>
      <c r="AH156" s="52" t="n">
        <f aca="false">IF(AH$3=0,0,(1-in_N05)*c_premium)</f>
        <v>7629.27253117684</v>
      </c>
    </row>
    <row r="157" customFormat="false" ht="15" hidden="false" customHeight="true" outlineLevel="0" collapsed="false">
      <c r="A157" s="33" t="s">
        <v>1409</v>
      </c>
      <c r="D157" s="52" t="n">
        <f aca="false">D154+D155-D156</f>
        <v>0</v>
      </c>
      <c r="E157" s="52" t="n">
        <f aca="false">E154+E155-E156</f>
        <v>211.071059431088</v>
      </c>
      <c r="F157" s="52" t="n">
        <f aca="false">F154+F155-F156</f>
        <v>211.071059431088</v>
      </c>
      <c r="G157" s="52" t="n">
        <f aca="false">G154+G155-G156</f>
        <v>211.071059431088</v>
      </c>
      <c r="H157" s="52" t="n">
        <f aca="false">H154+H155-H156</f>
        <v>211.071059431088</v>
      </c>
      <c r="I157" s="52" t="n">
        <f aca="false">I154+I155-I156</f>
        <v>211.071059431088</v>
      </c>
      <c r="J157" s="52" t="n">
        <f aca="false">J154+J155-J156</f>
        <v>211.071059431088</v>
      </c>
      <c r="K157" s="52" t="n">
        <f aca="false">K154+K155-K156</f>
        <v>211.071059431088</v>
      </c>
      <c r="L157" s="52" t="n">
        <f aca="false">L154+L155-L156</f>
        <v>211.071059431088</v>
      </c>
      <c r="M157" s="52" t="n">
        <f aca="false">M154+M155-M156</f>
        <v>211.071059431088</v>
      </c>
      <c r="N157" s="52" t="n">
        <f aca="false">N154+N155-N156</f>
        <v>211.071059431088</v>
      </c>
      <c r="O157" s="52" t="n">
        <f aca="false">O154+O155-O156</f>
        <v>211.071059431088</v>
      </c>
      <c r="P157" s="52" t="n">
        <f aca="false">P154+P155-P156</f>
        <v>211.071059431088</v>
      </c>
      <c r="Q157" s="52" t="n">
        <f aca="false">Q154+Q155-Q156</f>
        <v>211.071059431088</v>
      </c>
      <c r="R157" s="52" t="n">
        <f aca="false">R154+R155-R156</f>
        <v>211.071059431088</v>
      </c>
      <c r="S157" s="52" t="n">
        <f aca="false">S154+S155-S156</f>
        <v>211.071059431088</v>
      </c>
      <c r="T157" s="52" t="n">
        <f aca="false">T154+T155-T156</f>
        <v>211.071059431088</v>
      </c>
      <c r="U157" s="52" t="n">
        <f aca="false">U154+U155-U156</f>
        <v>211.071059431088</v>
      </c>
      <c r="V157" s="52" t="n">
        <f aca="false">V154+V155-V156</f>
        <v>211.071059431088</v>
      </c>
      <c r="W157" s="52" t="n">
        <f aca="false">W154+W155-W156</f>
        <v>211.071059431088</v>
      </c>
      <c r="X157" s="52" t="n">
        <f aca="false">X154+X155-X156</f>
        <v>211.071059431088</v>
      </c>
      <c r="Y157" s="52" t="n">
        <f aca="false">Y154+Y155-Y156</f>
        <v>211.071059431088</v>
      </c>
      <c r="Z157" s="52" t="n">
        <f aca="false">Z154+Z155-Z156</f>
        <v>211.071059431088</v>
      </c>
      <c r="AA157" s="52" t="n">
        <f aca="false">AA154+AA155-AA156</f>
        <v>211.071059431088</v>
      </c>
      <c r="AB157" s="52" t="n">
        <f aca="false">AB154+AB155-AB156</f>
        <v>211.071059431088</v>
      </c>
      <c r="AC157" s="52" t="n">
        <f aca="false">AC154+AC155-AC156</f>
        <v>211.071059431088</v>
      </c>
      <c r="AD157" s="52" t="n">
        <f aca="false">AD154+AD155-AD156</f>
        <v>211.071059431088</v>
      </c>
      <c r="AE157" s="52" t="n">
        <f aca="false">AE154+AE155-AE156</f>
        <v>211.071059431088</v>
      </c>
      <c r="AF157" s="52" t="n">
        <f aca="false">AF154+AF155-AF156</f>
        <v>211.071059431088</v>
      </c>
      <c r="AG157" s="52" t="n">
        <f aca="false">AG154+AG155-AG156</f>
        <v>211.071059431088</v>
      </c>
      <c r="AH157" s="52" t="n">
        <f aca="false">AH154+AH155-AH156</f>
        <v>211.071059431088</v>
      </c>
    </row>
    <row r="158" customFormat="false" ht="15" hidden="false" customHeight="true" outlineLevel="0" collapsed="false">
      <c r="A158" s="33" t="s">
        <v>1410</v>
      </c>
      <c r="D158" s="52" t="n">
        <f aca="false">D$4*MAX(0,D157)</f>
        <v>0</v>
      </c>
      <c r="E158" s="52" t="n">
        <f aca="false">E$4*MAX(0,E157)</f>
        <v>0</v>
      </c>
      <c r="F158" s="52" t="n">
        <f aca="false">F$4*MAX(0,F157)</f>
        <v>0</v>
      </c>
      <c r="G158" s="52" t="n">
        <f aca="false">G$4*MAX(0,G157)</f>
        <v>0</v>
      </c>
      <c r="H158" s="52" t="n">
        <f aca="false">H$4*MAX(0,H157)</f>
        <v>0</v>
      </c>
      <c r="I158" s="52" t="n">
        <f aca="false">I$4*MAX(0,I157)</f>
        <v>0</v>
      </c>
      <c r="J158" s="52" t="n">
        <f aca="false">J$4*MAX(0,J157)</f>
        <v>0</v>
      </c>
      <c r="K158" s="52" t="n">
        <f aca="false">K$4*MAX(0,K157)</f>
        <v>0</v>
      </c>
      <c r="L158" s="52" t="n">
        <f aca="false">L$4*MAX(0,L157)</f>
        <v>0</v>
      </c>
      <c r="M158" s="52" t="n">
        <f aca="false">M$4*MAX(0,M157)</f>
        <v>0</v>
      </c>
      <c r="N158" s="52" t="n">
        <f aca="false">N$4*MAX(0,N157)</f>
        <v>0</v>
      </c>
      <c r="O158" s="52" t="n">
        <f aca="false">O$4*MAX(0,O157)</f>
        <v>34.8267248061295</v>
      </c>
      <c r="P158" s="52" t="n">
        <f aca="false">P$4*MAX(0,P157)</f>
        <v>34.8267248061295</v>
      </c>
      <c r="Q158" s="52" t="n">
        <f aca="false">Q$4*MAX(0,Q157)</f>
        <v>34.8267248061295</v>
      </c>
      <c r="R158" s="52" t="n">
        <f aca="false">R$4*MAX(0,R157)</f>
        <v>34.8267248061295</v>
      </c>
      <c r="S158" s="52" t="n">
        <f aca="false">S$4*MAX(0,S157)</f>
        <v>34.8267248061295</v>
      </c>
      <c r="T158" s="52" t="n">
        <f aca="false">T$4*MAX(0,T157)</f>
        <v>34.8267248061295</v>
      </c>
      <c r="U158" s="52" t="n">
        <f aca="false">U$4*MAX(0,U157)</f>
        <v>34.8267248061295</v>
      </c>
      <c r="V158" s="52" t="n">
        <f aca="false">V$4*MAX(0,V157)</f>
        <v>34.8267248061295</v>
      </c>
      <c r="W158" s="52" t="n">
        <f aca="false">W$4*MAX(0,W157)</f>
        <v>34.8267248061295</v>
      </c>
      <c r="X158" s="52" t="n">
        <f aca="false">X$4*MAX(0,X157)</f>
        <v>34.8267248061295</v>
      </c>
      <c r="Y158" s="52" t="n">
        <f aca="false">Y$4*MAX(0,Y157)</f>
        <v>34.8267248061295</v>
      </c>
      <c r="Z158" s="52" t="n">
        <f aca="false">Z$4*MAX(0,Z157)</f>
        <v>34.8267248061295</v>
      </c>
      <c r="AA158" s="52" t="n">
        <f aca="false">AA$4*MAX(0,AA157)</f>
        <v>34.8267248061295</v>
      </c>
      <c r="AB158" s="52" t="n">
        <f aca="false">AB$4*MAX(0,AB157)</f>
        <v>34.8267248061295</v>
      </c>
      <c r="AC158" s="52" t="n">
        <f aca="false">AC$4*MAX(0,AC157)</f>
        <v>34.8267248061295</v>
      </c>
      <c r="AD158" s="52" t="n">
        <f aca="false">AD$4*MAX(0,AD157)</f>
        <v>34.8267248061295</v>
      </c>
      <c r="AE158" s="52" t="n">
        <f aca="false">AE$4*MAX(0,AE157)</f>
        <v>34.8267248061295</v>
      </c>
      <c r="AF158" s="52" t="n">
        <f aca="false">AF$4*MAX(0,AF157)</f>
        <v>34.8267248061295</v>
      </c>
      <c r="AG158" s="52" t="n">
        <f aca="false">AG$4*MAX(0,AG157)</f>
        <v>34.8267248061295</v>
      </c>
      <c r="AH158" s="52" t="n">
        <f aca="false">AH$4*MAX(0,AH157)</f>
        <v>34.8267248061295</v>
      </c>
    </row>
    <row r="159" customFormat="false" ht="15" hidden="false" customHeight="true" outlineLevel="0" collapsed="false">
      <c r="A159" s="33" t="s">
        <v>1411</v>
      </c>
      <c r="C159" s="55" t="n">
        <f aca="false">SUMPRODUCT(D159:AH159,D$5:AH$5)</f>
        <v>1427.05095604958</v>
      </c>
      <c r="D159" s="55" t="n">
        <f aca="false">(D157-D153-D158)*D152</f>
        <v>0</v>
      </c>
      <c r="E159" s="55" t="n">
        <f aca="false">(E157-E153-E158)*E152</f>
        <v>211.071059431088</v>
      </c>
      <c r="F159" s="55" t="n">
        <f aca="false">(F157-F153-F158)*F152</f>
        <v>211.071059431088</v>
      </c>
      <c r="G159" s="55" t="n">
        <f aca="false">(G157-G153-G158)*G152</f>
        <v>211.071059431088</v>
      </c>
      <c r="H159" s="55" t="n">
        <f aca="false">(H157-H153-H158)*H152</f>
        <v>211.071059431088</v>
      </c>
      <c r="I159" s="55" t="n">
        <f aca="false">(I157-I153-I158)*I152</f>
        <v>211.071059431088</v>
      </c>
      <c r="J159" s="55" t="n">
        <f aca="false">(J157-J153-J158)*J152</f>
        <v>211.071059431088</v>
      </c>
      <c r="K159" s="55" t="n">
        <f aca="false">(K157-K153-K158)*K152</f>
        <v>211.071059431088</v>
      </c>
      <c r="L159" s="55" t="n">
        <f aca="false">(L157-L153-L158)*L152</f>
        <v>211.071059431088</v>
      </c>
      <c r="M159" s="55" t="n">
        <f aca="false">(M157-M153-M158)*M152</f>
        <v>211.071059431088</v>
      </c>
      <c r="N159" s="55" t="n">
        <f aca="false">(N157-N153-N158)*N152</f>
        <v>211.071059431088</v>
      </c>
      <c r="O159" s="55" t="n">
        <f aca="false">(O157-O153-O158)*O152</f>
        <v>176.244334624958</v>
      </c>
      <c r="P159" s="55" t="n">
        <f aca="false">(P157-P153-P158)*P152</f>
        <v>176.244334624958</v>
      </c>
      <c r="Q159" s="55" t="n">
        <f aca="false">(Q157-Q153-Q158)*Q152</f>
        <v>176.244334624958</v>
      </c>
      <c r="R159" s="55" t="n">
        <f aca="false">(R157-R153-R158)*R152</f>
        <v>176.244334624958</v>
      </c>
      <c r="S159" s="55" t="n">
        <f aca="false">(S157-S153-S158)*S152</f>
        <v>176.244334624958</v>
      </c>
      <c r="T159" s="55" t="n">
        <f aca="false">(T157-T153-T158)*T152</f>
        <v>176.244334624958</v>
      </c>
      <c r="U159" s="55" t="n">
        <f aca="false">(U157-U153-U158)*U152</f>
        <v>176.244334624958</v>
      </c>
      <c r="V159" s="55" t="n">
        <f aca="false">(V157-V153-V158)*V152</f>
        <v>176.244334624958</v>
      </c>
      <c r="W159" s="55" t="n">
        <f aca="false">(W157-W153-W158)*W152</f>
        <v>176.244334624958</v>
      </c>
      <c r="X159" s="55" t="n">
        <f aca="false">(X157-X153-X158)*X152</f>
        <v>176.244334624958</v>
      </c>
      <c r="Y159" s="55" t="n">
        <f aca="false">(Y157-Y153-Y158)*Y152</f>
        <v>0</v>
      </c>
      <c r="Z159" s="55" t="n">
        <f aca="false">(Z157-Z153-Z158)*Z152</f>
        <v>0</v>
      </c>
      <c r="AA159" s="55" t="n">
        <f aca="false">(AA157-AA153-AA158)*AA152</f>
        <v>0</v>
      </c>
      <c r="AB159" s="55" t="n">
        <f aca="false">(AB157-AB153-AB158)*AB152</f>
        <v>0</v>
      </c>
      <c r="AC159" s="55" t="n">
        <f aca="false">(AC157-AC153-AC158)*AC152</f>
        <v>0</v>
      </c>
      <c r="AD159" s="55" t="n">
        <f aca="false">(AD157-AD153-AD158)*AD152</f>
        <v>0</v>
      </c>
      <c r="AE159" s="55" t="n">
        <f aca="false">(AE157-AE153-AE158)*AE152</f>
        <v>0</v>
      </c>
      <c r="AF159" s="55" t="n">
        <f aca="false">(AF157-AF153-AF158)*AF152</f>
        <v>0</v>
      </c>
      <c r="AG159" s="55" t="n">
        <f aca="false">(AG157-AG153-AG158)*AG152</f>
        <v>0</v>
      </c>
      <c r="AH159" s="55" t="n">
        <f aca="false">(AH157-AH153-AH158)*AH152</f>
        <v>0</v>
      </c>
    </row>
    <row r="160" customFormat="false" ht="15" hidden="false" customHeight="true" outlineLevel="0" collapsed="false">
      <c r="A160" s="33" t="s">
        <v>1412</v>
      </c>
      <c r="C160" s="46" t="n">
        <f aca="false">SUMPRODUCT(D160:AH160,D$5:AH$5)</f>
        <v>0</v>
      </c>
      <c r="D160" s="52" t="n">
        <f aca="false">0</f>
        <v>0</v>
      </c>
      <c r="E160" s="52" t="n">
        <f aca="false">0</f>
        <v>0</v>
      </c>
      <c r="F160" s="52" t="n">
        <f aca="false">0</f>
        <v>0</v>
      </c>
      <c r="G160" s="52" t="n">
        <f aca="false">0</f>
        <v>0</v>
      </c>
      <c r="H160" s="52" t="n">
        <f aca="false">0</f>
        <v>0</v>
      </c>
      <c r="I160" s="52" t="n">
        <f aca="false">0</f>
        <v>0</v>
      </c>
      <c r="J160" s="52" t="n">
        <f aca="false">0</f>
        <v>0</v>
      </c>
      <c r="K160" s="52" t="n">
        <f aca="false">0</f>
        <v>0</v>
      </c>
      <c r="L160" s="52" t="n">
        <f aca="false">0</f>
        <v>0</v>
      </c>
      <c r="M160" s="52" t="n">
        <f aca="false">0</f>
        <v>0</v>
      </c>
      <c r="N160" s="52" t="n">
        <f aca="false">0</f>
        <v>0</v>
      </c>
      <c r="O160" s="52" t="n">
        <f aca="false">0</f>
        <v>0</v>
      </c>
      <c r="P160" s="52" t="n">
        <f aca="false">0</f>
        <v>0</v>
      </c>
      <c r="Q160" s="52" t="n">
        <f aca="false">0</f>
        <v>0</v>
      </c>
      <c r="R160" s="52" t="n">
        <f aca="false">0</f>
        <v>0</v>
      </c>
      <c r="S160" s="52" t="n">
        <f aca="false">0</f>
        <v>0</v>
      </c>
      <c r="T160" s="52" t="n">
        <f aca="false">0</f>
        <v>0</v>
      </c>
      <c r="U160" s="52" t="n">
        <f aca="false">0</f>
        <v>0</v>
      </c>
      <c r="V160" s="52" t="n">
        <f aca="false">0</f>
        <v>0</v>
      </c>
      <c r="W160" s="52" t="n">
        <f aca="false">0</f>
        <v>0</v>
      </c>
      <c r="X160" s="52" t="n">
        <f aca="false">0</f>
        <v>0</v>
      </c>
      <c r="Y160" s="52" t="n">
        <f aca="false">0</f>
        <v>0</v>
      </c>
      <c r="Z160" s="52" t="n">
        <f aca="false">0</f>
        <v>0</v>
      </c>
      <c r="AA160" s="52" t="n">
        <f aca="false">0</f>
        <v>0</v>
      </c>
      <c r="AB160" s="52" t="n">
        <f aca="false">0</f>
        <v>0</v>
      </c>
      <c r="AC160" s="52" t="n">
        <f aca="false">0</f>
        <v>0</v>
      </c>
      <c r="AD160" s="52" t="n">
        <f aca="false">0</f>
        <v>0</v>
      </c>
      <c r="AE160" s="52" t="n">
        <f aca="false">0</f>
        <v>0</v>
      </c>
      <c r="AF160" s="52" t="n">
        <f aca="false">0</f>
        <v>0</v>
      </c>
      <c r="AG160" s="52" t="n">
        <f aca="false">0</f>
        <v>0</v>
      </c>
      <c r="AH160" s="52" t="n">
        <f aca="false">0</f>
        <v>0</v>
      </c>
    </row>
    <row r="161" customFormat="false" ht="15" hidden="false" customHeight="true" outlineLevel="0" collapsed="false">
      <c r="A161" s="33" t="s">
        <v>1413</v>
      </c>
      <c r="C161" s="46" t="n">
        <f aca="false">SUMPRODUCT(D161:AH161,D$5:AH$5)</f>
        <v>0</v>
      </c>
      <c r="D161" s="52" t="n">
        <f aca="false">D154*D152</f>
        <v>0</v>
      </c>
      <c r="E161" s="52" t="n">
        <f aca="false">E154*E152</f>
        <v>0</v>
      </c>
      <c r="F161" s="52" t="n">
        <f aca="false">F154*F152</f>
        <v>0</v>
      </c>
      <c r="G161" s="52" t="n">
        <f aca="false">G154*G152</f>
        <v>0</v>
      </c>
      <c r="H161" s="52" t="n">
        <f aca="false">H154*H152</f>
        <v>0</v>
      </c>
      <c r="I161" s="52" t="n">
        <f aca="false">I154*I152</f>
        <v>0</v>
      </c>
      <c r="J161" s="52" t="n">
        <f aca="false">J154*J152</f>
        <v>0</v>
      </c>
      <c r="K161" s="52" t="n">
        <f aca="false">K154*K152</f>
        <v>0</v>
      </c>
      <c r="L161" s="52" t="n">
        <f aca="false">L154*L152</f>
        <v>0</v>
      </c>
      <c r="M161" s="52" t="n">
        <f aca="false">M154*M152</f>
        <v>0</v>
      </c>
      <c r="N161" s="52" t="n">
        <f aca="false">N154*N152</f>
        <v>0</v>
      </c>
      <c r="O161" s="52" t="n">
        <f aca="false">O154*O152</f>
        <v>0</v>
      </c>
      <c r="P161" s="52" t="n">
        <f aca="false">P154*P152</f>
        <v>0</v>
      </c>
      <c r="Q161" s="52" t="n">
        <f aca="false">Q154*Q152</f>
        <v>0</v>
      </c>
      <c r="R161" s="52" t="n">
        <f aca="false">R154*R152</f>
        <v>0</v>
      </c>
      <c r="S161" s="52" t="n">
        <f aca="false">S154*S152</f>
        <v>0</v>
      </c>
      <c r="T161" s="52" t="n">
        <f aca="false">T154*T152</f>
        <v>0</v>
      </c>
      <c r="U161" s="52" t="n">
        <f aca="false">U154*U152</f>
        <v>0</v>
      </c>
      <c r="V161" s="52" t="n">
        <f aca="false">V154*V152</f>
        <v>0</v>
      </c>
      <c r="W161" s="52" t="n">
        <f aca="false">W154*W152</f>
        <v>0</v>
      </c>
      <c r="X161" s="52" t="n">
        <f aca="false">X154*X152</f>
        <v>0</v>
      </c>
      <c r="Y161" s="52" t="n">
        <f aca="false">Y154*Y152</f>
        <v>0</v>
      </c>
      <c r="Z161" s="52" t="n">
        <f aca="false">Z154*Z152</f>
        <v>0</v>
      </c>
      <c r="AA161" s="52" t="n">
        <f aca="false">AA154*AA152</f>
        <v>0</v>
      </c>
      <c r="AB161" s="52" t="n">
        <f aca="false">AB154*AB152</f>
        <v>0</v>
      </c>
      <c r="AC161" s="52" t="n">
        <f aca="false">AC154*AC152</f>
        <v>0</v>
      </c>
      <c r="AD161" s="52" t="n">
        <f aca="false">AD154*AD152</f>
        <v>0</v>
      </c>
      <c r="AE161" s="52" t="n">
        <f aca="false">AE154*AE152</f>
        <v>0</v>
      </c>
      <c r="AF161" s="52" t="n">
        <f aca="false">AF154*AF152</f>
        <v>0</v>
      </c>
      <c r="AG161" s="52" t="n">
        <f aca="false">AG154*AG152</f>
        <v>0</v>
      </c>
      <c r="AH161" s="52" t="n">
        <f aca="false">AH154*AH152</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8"/>
    <col collapsed="false" customWidth="true" hidden="false" outlineLevel="0" max="3" min="3" style="1" width="12"/>
    <col collapsed="false" customWidth="true" hidden="false" outlineLevel="0" max="4" min="4" style="1" width="11"/>
    <col collapsed="false" customWidth="true" hidden="false" outlineLevel="0" max="5" min="5" style="1" width="36"/>
    <col collapsed="false" customWidth="true" hidden="false" outlineLevel="0" max="6" min="6" style="1" width="16"/>
    <col collapsed="false" customWidth="true" hidden="false" outlineLevel="0" max="34" min="7" style="1" width="11"/>
  </cols>
  <sheetData>
    <row r="1" customFormat="false" ht="17.25" hidden="false" customHeight="true" outlineLevel="0" collapsed="false">
      <c r="A1" s="5" t="s">
        <v>1425</v>
      </c>
    </row>
    <row r="2" customFormat="false" ht="15" hidden="false" customHeight="true" outlineLevel="0" collapsed="false">
      <c r="A2" s="6" t="s">
        <v>1426</v>
      </c>
    </row>
    <row r="4" customFormat="false" ht="26.25" hidden="false" customHeight="true" outlineLevel="0" collapsed="false">
      <c r="A4" s="7" t="s">
        <v>1427</v>
      </c>
      <c r="B4" s="7" t="s">
        <v>25</v>
      </c>
      <c r="C4" s="7" t="s">
        <v>1428</v>
      </c>
    </row>
    <row r="5" customFormat="false" ht="15" hidden="false" customHeight="true" outlineLevel="0" collapsed="false">
      <c r="A5" s="33" t="s">
        <v>1402</v>
      </c>
      <c r="B5" s="33" t="s">
        <v>1429</v>
      </c>
      <c r="C5" s="62" t="n">
        <v>0</v>
      </c>
      <c r="E5" s="3" t="s">
        <v>1430</v>
      </c>
      <c r="F5" s="63" t="n">
        <f aca="false">C30</f>
        <v>260114.904393773</v>
      </c>
    </row>
    <row r="6" customFormat="false" ht="15" hidden="false" customHeight="true" outlineLevel="0" collapsed="false">
      <c r="A6" s="33" t="s">
        <v>371</v>
      </c>
      <c r="B6" s="33" t="s">
        <v>1431</v>
      </c>
      <c r="C6" s="62" t="n">
        <v>1</v>
      </c>
      <c r="E6" s="3" t="s">
        <v>1432</v>
      </c>
      <c r="F6" s="46" t="n">
        <f aca="false">C21</f>
        <v>239728.959958623</v>
      </c>
    </row>
    <row r="7" customFormat="false" ht="15" hidden="false" customHeight="true" outlineLevel="0" collapsed="false">
      <c r="A7" s="33" t="s">
        <v>1414</v>
      </c>
      <c r="B7" s="33" t="s">
        <v>1433</v>
      </c>
      <c r="C7" s="62" t="n">
        <v>0</v>
      </c>
      <c r="E7" s="3" t="s">
        <v>1434</v>
      </c>
      <c r="F7" s="46" t="n">
        <f aca="false">C30+C31</f>
        <v>363769.328779055</v>
      </c>
    </row>
    <row r="8" customFormat="false" ht="15" hidden="false" customHeight="true" outlineLevel="0" collapsed="false">
      <c r="A8" s="33" t="s">
        <v>1415</v>
      </c>
      <c r="B8" s="33" t="s">
        <v>1435</v>
      </c>
      <c r="C8" s="62" t="n">
        <v>0</v>
      </c>
    </row>
    <row r="9" customFormat="false" ht="15" hidden="false" customHeight="true" outlineLevel="0" collapsed="false">
      <c r="A9" s="33" t="s">
        <v>1416</v>
      </c>
      <c r="B9" s="33" t="s">
        <v>1436</v>
      </c>
      <c r="C9" s="62" t="n">
        <v>1</v>
      </c>
    </row>
    <row r="10" customFormat="false" ht="15" hidden="false" customHeight="true" outlineLevel="0" collapsed="false">
      <c r="A10" s="33" t="s">
        <v>1417</v>
      </c>
      <c r="B10" s="33" t="s">
        <v>1437</v>
      </c>
      <c r="C10" s="62" t="n">
        <v>0</v>
      </c>
    </row>
    <row r="11" customFormat="false" ht="15" hidden="false" customHeight="true" outlineLevel="0" collapsed="false">
      <c r="A11" s="33" t="s">
        <v>1418</v>
      </c>
      <c r="B11" s="33" t="s">
        <v>1438</v>
      </c>
      <c r="C11" s="62" t="n">
        <v>1</v>
      </c>
    </row>
    <row r="12" customFormat="false" ht="15" hidden="false" customHeight="true" outlineLevel="0" collapsed="false">
      <c r="A12" s="33" t="s">
        <v>1419</v>
      </c>
      <c r="B12" s="33" t="s">
        <v>1439</v>
      </c>
      <c r="C12" s="62" t="n">
        <v>0</v>
      </c>
    </row>
    <row r="13" customFormat="false" ht="15" hidden="false" customHeight="true" outlineLevel="0" collapsed="false">
      <c r="A13" s="33" t="s">
        <v>1420</v>
      </c>
      <c r="B13" s="33" t="s">
        <v>1440</v>
      </c>
      <c r="C13" s="62" t="n">
        <v>0</v>
      </c>
    </row>
    <row r="14" customFormat="false" ht="15" hidden="false" customHeight="true" outlineLevel="0" collapsed="false">
      <c r="A14" s="33" t="s">
        <v>1421</v>
      </c>
      <c r="B14" s="33" t="s">
        <v>1441</v>
      </c>
      <c r="C14" s="62" t="n">
        <v>1</v>
      </c>
    </row>
    <row r="15" customFormat="false" ht="15" hidden="false" customHeight="true" outlineLevel="0" collapsed="false">
      <c r="A15" s="33" t="s">
        <v>1422</v>
      </c>
      <c r="B15" s="33" t="s">
        <v>1442</v>
      </c>
      <c r="C15" s="62" t="n">
        <v>1</v>
      </c>
    </row>
    <row r="16" customFormat="false" ht="15" hidden="false" customHeight="true" outlineLevel="0" collapsed="false">
      <c r="A16" s="33" t="s">
        <v>1423</v>
      </c>
      <c r="B16" s="33" t="s">
        <v>1443</v>
      </c>
      <c r="C16" s="62" t="n">
        <v>0</v>
      </c>
    </row>
    <row r="17" customFormat="false" ht="15" hidden="false" customHeight="true" outlineLevel="0" collapsed="false">
      <c r="A17" s="33" t="s">
        <v>1424</v>
      </c>
      <c r="B17" s="33" t="s">
        <v>1444</v>
      </c>
      <c r="C17" s="62" t="n">
        <v>1</v>
      </c>
    </row>
    <row r="19" customFormat="false" ht="15" hidden="false" customHeight="true" outlineLevel="0" collapsed="false">
      <c r="A19" s="3" t="s">
        <v>1384</v>
      </c>
      <c r="C19" s="3" t="s">
        <v>1399</v>
      </c>
      <c r="D19" s="3" t="n">
        <v>0</v>
      </c>
      <c r="E19" s="3" t="n">
        <v>1</v>
      </c>
      <c r="F19" s="3" t="n">
        <v>2</v>
      </c>
      <c r="G19" s="3" t="n">
        <v>3</v>
      </c>
      <c r="H19" s="3" t="n">
        <v>4</v>
      </c>
      <c r="I19" s="3" t="n">
        <v>5</v>
      </c>
      <c r="J19" s="3" t="n">
        <v>6</v>
      </c>
      <c r="K19" s="3" t="n">
        <v>7</v>
      </c>
      <c r="L19" s="3" t="n">
        <v>8</v>
      </c>
      <c r="M19" s="3" t="n">
        <v>9</v>
      </c>
      <c r="N19" s="3" t="n">
        <v>10</v>
      </c>
      <c r="O19" s="3" t="n">
        <v>11</v>
      </c>
      <c r="P19" s="3" t="n">
        <v>12</v>
      </c>
      <c r="Q19" s="3" t="n">
        <v>13</v>
      </c>
      <c r="R19" s="3" t="n">
        <v>14</v>
      </c>
      <c r="S19" s="3" t="n">
        <v>15</v>
      </c>
      <c r="T19" s="3" t="n">
        <v>16</v>
      </c>
      <c r="U19" s="3" t="n">
        <v>17</v>
      </c>
      <c r="V19" s="3" t="n">
        <v>18</v>
      </c>
      <c r="W19" s="3" t="n">
        <v>19</v>
      </c>
      <c r="X19" s="3" t="n">
        <v>20</v>
      </c>
      <c r="Y19" s="3" t="n">
        <v>21</v>
      </c>
      <c r="Z19" s="3" t="n">
        <v>22</v>
      </c>
      <c r="AA19" s="3" t="n">
        <v>23</v>
      </c>
      <c r="AB19" s="3" t="n">
        <v>24</v>
      </c>
      <c r="AC19" s="3" t="n">
        <v>25</v>
      </c>
      <c r="AD19" s="3" t="n">
        <v>26</v>
      </c>
      <c r="AE19" s="3" t="n">
        <v>27</v>
      </c>
      <c r="AF19" s="3" t="n">
        <v>28</v>
      </c>
      <c r="AG19" s="3" t="n">
        <v>29</v>
      </c>
      <c r="AH19" s="3" t="n">
        <v>30</v>
      </c>
    </row>
    <row r="20" customFormat="false" ht="15" hidden="false" customHeight="true" outlineLevel="0" collapsed="false">
      <c r="A20" s="33" t="s">
        <v>1445</v>
      </c>
      <c r="D20" s="61" t="n">
        <f aca="false">IF(D$19&lt;=in_G02a,1,0)</f>
        <v>1</v>
      </c>
      <c r="E20" s="61" t="n">
        <f aca="false">IF(E$19&lt;=in_G02a,1,0)</f>
        <v>1</v>
      </c>
      <c r="F20" s="61" t="n">
        <f aca="false">IF(F$19&lt;=in_G02a,1,0)</f>
        <v>1</v>
      </c>
      <c r="G20" s="61" t="n">
        <f aca="false">IF(G$19&lt;=in_G02a,1,0)</f>
        <v>1</v>
      </c>
      <c r="H20" s="61" t="n">
        <f aca="false">IF(H$19&lt;=in_G02a,1,0)</f>
        <v>1</v>
      </c>
      <c r="I20" s="61" t="n">
        <f aca="false">IF(I$19&lt;=in_G02a,1,0)</f>
        <v>1</v>
      </c>
      <c r="J20" s="61" t="n">
        <f aca="false">IF(J$19&lt;=in_G02a,1,0)</f>
        <v>1</v>
      </c>
      <c r="K20" s="61" t="n">
        <f aca="false">IF(K$19&lt;=in_G02a,1,0)</f>
        <v>1</v>
      </c>
      <c r="L20" s="61" t="n">
        <f aca="false">IF(L$19&lt;=in_G02a,1,0)</f>
        <v>1</v>
      </c>
      <c r="M20" s="61" t="n">
        <f aca="false">IF(M$19&lt;=in_G02a,1,0)</f>
        <v>1</v>
      </c>
      <c r="N20" s="61" t="n">
        <f aca="false">IF(N$19&lt;=in_G02a,1,0)</f>
        <v>1</v>
      </c>
      <c r="O20" s="61" t="n">
        <f aca="false">IF(O$19&lt;=in_G02a,1,0)</f>
        <v>1</v>
      </c>
      <c r="P20" s="61" t="n">
        <f aca="false">IF(P$19&lt;=in_G02a,1,0)</f>
        <v>1</v>
      </c>
      <c r="Q20" s="61" t="n">
        <f aca="false">IF(Q$19&lt;=in_G02a,1,0)</f>
        <v>1</v>
      </c>
      <c r="R20" s="61" t="n">
        <f aca="false">IF(R$19&lt;=in_G02a,1,0)</f>
        <v>1</v>
      </c>
      <c r="S20" s="61" t="n">
        <f aca="false">IF(S$19&lt;=in_G02a,1,0)</f>
        <v>1</v>
      </c>
      <c r="T20" s="61" t="n">
        <f aca="false">IF(T$19&lt;=in_G02a,1,0)</f>
        <v>1</v>
      </c>
      <c r="U20" s="61" t="n">
        <f aca="false">IF(U$19&lt;=in_G02a,1,0)</f>
        <v>1</v>
      </c>
      <c r="V20" s="61" t="n">
        <f aca="false">IF(V$19&lt;=in_G02a,1,0)</f>
        <v>1</v>
      </c>
      <c r="W20" s="61" t="n">
        <f aca="false">IF(W$19&lt;=in_G02a,1,0)</f>
        <v>1</v>
      </c>
      <c r="X20" s="61" t="n">
        <f aca="false">IF(X$19&lt;=in_G02a,1,0)</f>
        <v>1</v>
      </c>
      <c r="Y20" s="61" t="n">
        <f aca="false">IF(Y$19&lt;=in_G02a,1,0)</f>
        <v>0</v>
      </c>
      <c r="Z20" s="61" t="n">
        <f aca="false">IF(Z$19&lt;=in_G02a,1,0)</f>
        <v>0</v>
      </c>
      <c r="AA20" s="61" t="n">
        <f aca="false">IF(AA$19&lt;=in_G02a,1,0)</f>
        <v>0</v>
      </c>
      <c r="AB20" s="61" t="n">
        <f aca="false">IF(AB$19&lt;=in_G02a,1,0)</f>
        <v>0</v>
      </c>
      <c r="AC20" s="61" t="n">
        <f aca="false">IF(AC$19&lt;=in_G02a,1,0)</f>
        <v>0</v>
      </c>
      <c r="AD20" s="61" t="n">
        <f aca="false">IF(AD$19&lt;=in_G02a,1,0)</f>
        <v>0</v>
      </c>
      <c r="AE20" s="61" t="n">
        <f aca="false">IF(AE$19&lt;=in_G02a,1,0)</f>
        <v>0</v>
      </c>
      <c r="AF20" s="61" t="n">
        <f aca="false">IF(AF$19&lt;=in_G02a,1,0)</f>
        <v>0</v>
      </c>
      <c r="AG20" s="61" t="n">
        <f aca="false">IF(AG$19&lt;=in_G02a,1,0)</f>
        <v>0</v>
      </c>
      <c r="AH20" s="61" t="n">
        <f aca="false">IF(AH$19&lt;=in_G02a,1,0)</f>
        <v>0</v>
      </c>
    </row>
    <row r="21" customFormat="false" ht="15" hidden="false" customHeight="true" outlineLevel="0" collapsed="false">
      <c r="A21" s="33" t="s">
        <v>1446</v>
      </c>
      <c r="C21" s="46" t="n">
        <f aca="false">SUMPRODUCT(D21:AH21,Engine!D$5:AH$5)</f>
        <v>239728.959958623</v>
      </c>
      <c r="D21" s="52" t="n">
        <f aca="false">(Portfolio!$C$5*Engine!D9+Portfolio!$C$6*Engine!D21+Portfolio!$C$7*Engine!D33+Portfolio!$C$8*Engine!D45+Portfolio!$C$9*Engine!D57+Portfolio!$C$10*Engine!D69+Portfolio!$C$11*Engine!D81+Portfolio!$C$12*Engine!D93+Portfolio!$C$13*Engine!D105+Portfolio!$C$14*Engine!D117+Portfolio!$C$15*Engine!D129+Portfolio!$C$16*Engine!D141+Portfolio!$C$17*Engine!D153)</f>
        <v>191192.8</v>
      </c>
      <c r="E21" s="52" t="n">
        <f aca="false">(Portfolio!$C$5*Engine!E9+Portfolio!$C$6*Engine!E21+Portfolio!$C$7*Engine!E33+Portfolio!$C$8*Engine!E45+Portfolio!$C$9*Engine!E57+Portfolio!$C$10*Engine!E69+Portfolio!$C$11*Engine!E81+Portfolio!$C$12*Engine!E93+Portfolio!$C$13*Engine!E105+Portfolio!$C$14*Engine!E117+Portfolio!$C$15*Engine!E129+Portfolio!$C$16*Engine!E141+Portfolio!$C$17*Engine!E153)</f>
        <v>0</v>
      </c>
      <c r="F21" s="52" t="n">
        <f aca="false">(Portfolio!$C$5*Engine!F9+Portfolio!$C$6*Engine!F21+Portfolio!$C$7*Engine!F33+Portfolio!$C$8*Engine!F45+Portfolio!$C$9*Engine!F57+Portfolio!$C$10*Engine!F69+Portfolio!$C$11*Engine!F81+Portfolio!$C$12*Engine!F93+Portfolio!$C$13*Engine!F105+Portfolio!$C$14*Engine!F117+Portfolio!$C$15*Engine!F129+Portfolio!$C$16*Engine!F141+Portfolio!$C$17*Engine!F153)</f>
        <v>0</v>
      </c>
      <c r="G21" s="52" t="n">
        <f aca="false">(Portfolio!$C$5*Engine!G9+Portfolio!$C$6*Engine!G21+Portfolio!$C$7*Engine!G33+Portfolio!$C$8*Engine!G45+Portfolio!$C$9*Engine!G57+Portfolio!$C$10*Engine!G69+Portfolio!$C$11*Engine!G81+Portfolio!$C$12*Engine!G93+Portfolio!$C$13*Engine!G105+Portfolio!$C$14*Engine!G117+Portfolio!$C$15*Engine!G129+Portfolio!$C$16*Engine!G141+Portfolio!$C$17*Engine!G153)</f>
        <v>0</v>
      </c>
      <c r="H21" s="52" t="n">
        <f aca="false">(Portfolio!$C$5*Engine!H9+Portfolio!$C$6*Engine!H21+Portfolio!$C$7*Engine!H33+Portfolio!$C$8*Engine!H45+Portfolio!$C$9*Engine!H57+Portfolio!$C$10*Engine!H69+Portfolio!$C$11*Engine!H81+Portfolio!$C$12*Engine!H93+Portfolio!$C$13*Engine!H105+Portfolio!$C$14*Engine!H117+Portfolio!$C$15*Engine!H129+Portfolio!$C$16*Engine!H141+Portfolio!$C$17*Engine!H153)</f>
        <v>0</v>
      </c>
      <c r="I21" s="52" t="n">
        <f aca="false">(Portfolio!$C$5*Engine!I9+Portfolio!$C$6*Engine!I21+Portfolio!$C$7*Engine!I33+Portfolio!$C$8*Engine!I45+Portfolio!$C$9*Engine!I57+Portfolio!$C$10*Engine!I69+Portfolio!$C$11*Engine!I81+Portfolio!$C$12*Engine!I93+Portfolio!$C$13*Engine!I105+Portfolio!$C$14*Engine!I117+Portfolio!$C$15*Engine!I129+Portfolio!$C$16*Engine!I141+Portfolio!$C$17*Engine!I153)</f>
        <v>30000</v>
      </c>
      <c r="J21" s="52" t="n">
        <f aca="false">(Portfolio!$C$5*Engine!J9+Portfolio!$C$6*Engine!J21+Portfolio!$C$7*Engine!J33+Portfolio!$C$8*Engine!J45+Portfolio!$C$9*Engine!J57+Portfolio!$C$10*Engine!J69+Portfolio!$C$11*Engine!J81+Portfolio!$C$12*Engine!J93+Portfolio!$C$13*Engine!J105+Portfolio!$C$14*Engine!J117+Portfolio!$C$15*Engine!J129+Portfolio!$C$16*Engine!J141+Portfolio!$C$17*Engine!J153)</f>
        <v>0</v>
      </c>
      <c r="K21" s="52" t="n">
        <f aca="false">(Portfolio!$C$5*Engine!K9+Portfolio!$C$6*Engine!K21+Portfolio!$C$7*Engine!K33+Portfolio!$C$8*Engine!K45+Portfolio!$C$9*Engine!K57+Portfolio!$C$10*Engine!K69+Portfolio!$C$11*Engine!K81+Portfolio!$C$12*Engine!K93+Portfolio!$C$13*Engine!K105+Portfolio!$C$14*Engine!K117+Portfolio!$C$15*Engine!K129+Portfolio!$C$16*Engine!K141+Portfolio!$C$17*Engine!K153)</f>
        <v>20000</v>
      </c>
      <c r="L21" s="52" t="n">
        <f aca="false">(Portfolio!$C$5*Engine!L9+Portfolio!$C$6*Engine!L21+Portfolio!$C$7*Engine!L33+Portfolio!$C$8*Engine!L45+Portfolio!$C$9*Engine!L57+Portfolio!$C$10*Engine!L69+Portfolio!$C$11*Engine!L81+Portfolio!$C$12*Engine!L93+Portfolio!$C$13*Engine!L105+Portfolio!$C$14*Engine!L117+Portfolio!$C$15*Engine!L129+Portfolio!$C$16*Engine!L141+Portfolio!$C$17*Engine!L153)</f>
        <v>0</v>
      </c>
      <c r="M21" s="52" t="n">
        <f aca="false">(Portfolio!$C$5*Engine!M9+Portfolio!$C$6*Engine!M21+Portfolio!$C$7*Engine!M33+Portfolio!$C$8*Engine!M45+Portfolio!$C$9*Engine!M57+Portfolio!$C$10*Engine!M69+Portfolio!$C$11*Engine!M81+Portfolio!$C$12*Engine!M93+Portfolio!$C$13*Engine!M105+Portfolio!$C$14*Engine!M117+Portfolio!$C$15*Engine!M129+Portfolio!$C$16*Engine!M141+Portfolio!$C$17*Engine!M153)</f>
        <v>0</v>
      </c>
      <c r="N21" s="52" t="n">
        <f aca="false">(Portfolio!$C$5*Engine!N9+Portfolio!$C$6*Engine!N21+Portfolio!$C$7*Engine!N33+Portfolio!$C$8*Engine!N45+Portfolio!$C$9*Engine!N57+Portfolio!$C$10*Engine!N69+Portfolio!$C$11*Engine!N81+Portfolio!$C$12*Engine!N93+Portfolio!$C$13*Engine!N105+Portfolio!$C$14*Engine!N117+Portfolio!$C$15*Engine!N129+Portfolio!$C$16*Engine!N141+Portfolio!$C$17*Engine!N153)</f>
        <v>30000</v>
      </c>
      <c r="O21" s="52" t="n">
        <f aca="false">(Portfolio!$C$5*Engine!O9+Portfolio!$C$6*Engine!O21+Portfolio!$C$7*Engine!O33+Portfolio!$C$8*Engine!O45+Portfolio!$C$9*Engine!O57+Portfolio!$C$10*Engine!O69+Portfolio!$C$11*Engine!O81+Portfolio!$C$12*Engine!O93+Portfolio!$C$13*Engine!O105+Portfolio!$C$14*Engine!O117+Portfolio!$C$15*Engine!O129+Portfolio!$C$16*Engine!O141+Portfolio!$C$17*Engine!O153)</f>
        <v>0</v>
      </c>
      <c r="P21" s="52" t="n">
        <f aca="false">(Portfolio!$C$5*Engine!P9+Portfolio!$C$6*Engine!P21+Portfolio!$C$7*Engine!P33+Portfolio!$C$8*Engine!P45+Portfolio!$C$9*Engine!P57+Portfolio!$C$10*Engine!P69+Portfolio!$C$11*Engine!P81+Portfolio!$C$12*Engine!P93+Portfolio!$C$13*Engine!P105+Portfolio!$C$14*Engine!P117+Portfolio!$C$15*Engine!P129+Portfolio!$C$16*Engine!P141+Portfolio!$C$17*Engine!P153)</f>
        <v>28192.8</v>
      </c>
      <c r="Q21" s="52" t="n">
        <f aca="false">(Portfolio!$C$5*Engine!Q9+Portfolio!$C$6*Engine!Q21+Portfolio!$C$7*Engine!Q33+Portfolio!$C$8*Engine!Q45+Portfolio!$C$9*Engine!Q57+Portfolio!$C$10*Engine!Q69+Portfolio!$C$11*Engine!Q81+Portfolio!$C$12*Engine!Q93+Portfolio!$C$13*Engine!Q105+Portfolio!$C$14*Engine!Q117+Portfolio!$C$15*Engine!Q129+Portfolio!$C$16*Engine!Q141+Portfolio!$C$17*Engine!Q153)</f>
        <v>0</v>
      </c>
      <c r="R21" s="52" t="n">
        <f aca="false">(Portfolio!$C$5*Engine!R9+Portfolio!$C$6*Engine!R21+Portfolio!$C$7*Engine!R33+Portfolio!$C$8*Engine!R45+Portfolio!$C$9*Engine!R57+Portfolio!$C$10*Engine!R69+Portfolio!$C$11*Engine!R81+Portfolio!$C$12*Engine!R93+Portfolio!$C$13*Engine!R105+Portfolio!$C$14*Engine!R117+Portfolio!$C$15*Engine!R129+Portfolio!$C$16*Engine!R141+Portfolio!$C$17*Engine!R153)</f>
        <v>20000</v>
      </c>
      <c r="S21" s="52" t="n">
        <f aca="false">(Portfolio!$C$5*Engine!S9+Portfolio!$C$6*Engine!S21+Portfolio!$C$7*Engine!S33+Portfolio!$C$8*Engine!S45+Portfolio!$C$9*Engine!S57+Portfolio!$C$10*Engine!S69+Portfolio!$C$11*Engine!S81+Portfolio!$C$12*Engine!S93+Portfolio!$C$13*Engine!S105+Portfolio!$C$14*Engine!S117+Portfolio!$C$15*Engine!S129+Portfolio!$C$16*Engine!S141+Portfolio!$C$17*Engine!S153)</f>
        <v>30000</v>
      </c>
      <c r="T21" s="52" t="n">
        <f aca="false">(Portfolio!$C$5*Engine!T9+Portfolio!$C$6*Engine!T21+Portfolio!$C$7*Engine!T33+Portfolio!$C$8*Engine!T45+Portfolio!$C$9*Engine!T57+Portfolio!$C$10*Engine!T69+Portfolio!$C$11*Engine!T81+Portfolio!$C$12*Engine!T93+Portfolio!$C$13*Engine!T105+Portfolio!$C$14*Engine!T117+Portfolio!$C$15*Engine!T129+Portfolio!$C$16*Engine!T141+Portfolio!$C$17*Engine!T153)</f>
        <v>0</v>
      </c>
      <c r="U21" s="52" t="n">
        <f aca="false">(Portfolio!$C$5*Engine!U9+Portfolio!$C$6*Engine!U21+Portfolio!$C$7*Engine!U33+Portfolio!$C$8*Engine!U45+Portfolio!$C$9*Engine!U57+Portfolio!$C$10*Engine!U69+Portfolio!$C$11*Engine!U81+Portfolio!$C$12*Engine!U93+Portfolio!$C$13*Engine!U105+Portfolio!$C$14*Engine!U117+Portfolio!$C$15*Engine!U129+Portfolio!$C$16*Engine!U141+Portfolio!$C$17*Engine!U153)</f>
        <v>0</v>
      </c>
      <c r="V21" s="52" t="n">
        <f aca="false">(Portfolio!$C$5*Engine!V9+Portfolio!$C$6*Engine!V21+Portfolio!$C$7*Engine!V33+Portfolio!$C$8*Engine!V45+Portfolio!$C$9*Engine!V57+Portfolio!$C$10*Engine!V69+Portfolio!$C$11*Engine!V81+Portfolio!$C$12*Engine!V93+Portfolio!$C$13*Engine!V105+Portfolio!$C$14*Engine!V117+Portfolio!$C$15*Engine!V129+Portfolio!$C$16*Engine!V141+Portfolio!$C$17*Engine!V153)</f>
        <v>0</v>
      </c>
      <c r="W21" s="52" t="n">
        <f aca="false">(Portfolio!$C$5*Engine!W9+Portfolio!$C$6*Engine!W21+Portfolio!$C$7*Engine!W33+Portfolio!$C$8*Engine!W45+Portfolio!$C$9*Engine!W57+Portfolio!$C$10*Engine!W69+Portfolio!$C$11*Engine!W81+Portfolio!$C$12*Engine!W93+Portfolio!$C$13*Engine!W105+Portfolio!$C$14*Engine!W117+Portfolio!$C$15*Engine!W129+Portfolio!$C$16*Engine!W141+Portfolio!$C$17*Engine!W153)</f>
        <v>0</v>
      </c>
      <c r="X21" s="52" t="n">
        <f aca="false">(Portfolio!$C$5*Engine!X9+Portfolio!$C$6*Engine!X21+Portfolio!$C$7*Engine!X33+Portfolio!$C$8*Engine!X45+Portfolio!$C$9*Engine!X57+Portfolio!$C$10*Engine!X69+Portfolio!$C$11*Engine!X81+Portfolio!$C$12*Engine!X93+Portfolio!$C$13*Engine!X105+Portfolio!$C$14*Engine!X117+Portfolio!$C$15*Engine!X129+Portfolio!$C$16*Engine!X141+Portfolio!$C$17*Engine!X153)</f>
        <v>0</v>
      </c>
      <c r="Y21" s="52" t="n">
        <f aca="false">(Portfolio!$C$5*Engine!Y9+Portfolio!$C$6*Engine!Y21+Portfolio!$C$7*Engine!Y33+Portfolio!$C$8*Engine!Y45+Portfolio!$C$9*Engine!Y57+Portfolio!$C$10*Engine!Y69+Portfolio!$C$11*Engine!Y81+Portfolio!$C$12*Engine!Y93+Portfolio!$C$13*Engine!Y105+Portfolio!$C$14*Engine!Y117+Portfolio!$C$15*Engine!Y129+Portfolio!$C$16*Engine!Y141+Portfolio!$C$17*Engine!Y153)</f>
        <v>0</v>
      </c>
      <c r="Z21" s="52" t="n">
        <f aca="false">(Portfolio!$C$5*Engine!Z9+Portfolio!$C$6*Engine!Z21+Portfolio!$C$7*Engine!Z33+Portfolio!$C$8*Engine!Z45+Portfolio!$C$9*Engine!Z57+Portfolio!$C$10*Engine!Z69+Portfolio!$C$11*Engine!Z81+Portfolio!$C$12*Engine!Z93+Portfolio!$C$13*Engine!Z105+Portfolio!$C$14*Engine!Z117+Portfolio!$C$15*Engine!Z129+Portfolio!$C$16*Engine!Z141+Portfolio!$C$17*Engine!Z153)</f>
        <v>0</v>
      </c>
      <c r="AA21" s="52" t="n">
        <f aca="false">(Portfolio!$C$5*Engine!AA9+Portfolio!$C$6*Engine!AA21+Portfolio!$C$7*Engine!AA33+Portfolio!$C$8*Engine!AA45+Portfolio!$C$9*Engine!AA57+Portfolio!$C$10*Engine!AA69+Portfolio!$C$11*Engine!AA81+Portfolio!$C$12*Engine!AA93+Portfolio!$C$13*Engine!AA105+Portfolio!$C$14*Engine!AA117+Portfolio!$C$15*Engine!AA129+Portfolio!$C$16*Engine!AA141+Portfolio!$C$17*Engine!AA153)</f>
        <v>0</v>
      </c>
      <c r="AB21" s="52" t="n">
        <f aca="false">(Portfolio!$C$5*Engine!AB9+Portfolio!$C$6*Engine!AB21+Portfolio!$C$7*Engine!AB33+Portfolio!$C$8*Engine!AB45+Portfolio!$C$9*Engine!AB57+Portfolio!$C$10*Engine!AB69+Portfolio!$C$11*Engine!AB81+Portfolio!$C$12*Engine!AB93+Portfolio!$C$13*Engine!AB105+Portfolio!$C$14*Engine!AB117+Portfolio!$C$15*Engine!AB129+Portfolio!$C$16*Engine!AB141+Portfolio!$C$17*Engine!AB153)</f>
        <v>0</v>
      </c>
      <c r="AC21" s="52" t="n">
        <f aca="false">(Portfolio!$C$5*Engine!AC9+Portfolio!$C$6*Engine!AC21+Portfolio!$C$7*Engine!AC33+Portfolio!$C$8*Engine!AC45+Portfolio!$C$9*Engine!AC57+Portfolio!$C$10*Engine!AC69+Portfolio!$C$11*Engine!AC81+Portfolio!$C$12*Engine!AC93+Portfolio!$C$13*Engine!AC105+Portfolio!$C$14*Engine!AC117+Portfolio!$C$15*Engine!AC129+Portfolio!$C$16*Engine!AC141+Portfolio!$C$17*Engine!AC153)</f>
        <v>0</v>
      </c>
      <c r="AD21" s="52" t="n">
        <f aca="false">(Portfolio!$C$5*Engine!AD9+Portfolio!$C$6*Engine!AD21+Portfolio!$C$7*Engine!AD33+Portfolio!$C$8*Engine!AD45+Portfolio!$C$9*Engine!AD57+Portfolio!$C$10*Engine!AD69+Portfolio!$C$11*Engine!AD81+Portfolio!$C$12*Engine!AD93+Portfolio!$C$13*Engine!AD105+Portfolio!$C$14*Engine!AD117+Portfolio!$C$15*Engine!AD129+Portfolio!$C$16*Engine!AD141+Portfolio!$C$17*Engine!AD153)</f>
        <v>0</v>
      </c>
      <c r="AE21" s="52" t="n">
        <f aca="false">(Portfolio!$C$5*Engine!AE9+Portfolio!$C$6*Engine!AE21+Portfolio!$C$7*Engine!AE33+Portfolio!$C$8*Engine!AE45+Portfolio!$C$9*Engine!AE57+Portfolio!$C$10*Engine!AE69+Portfolio!$C$11*Engine!AE81+Portfolio!$C$12*Engine!AE93+Portfolio!$C$13*Engine!AE105+Portfolio!$C$14*Engine!AE117+Portfolio!$C$15*Engine!AE129+Portfolio!$C$16*Engine!AE141+Portfolio!$C$17*Engine!AE153)</f>
        <v>0</v>
      </c>
      <c r="AF21" s="52" t="n">
        <f aca="false">(Portfolio!$C$5*Engine!AF9+Portfolio!$C$6*Engine!AF21+Portfolio!$C$7*Engine!AF33+Portfolio!$C$8*Engine!AF45+Portfolio!$C$9*Engine!AF57+Portfolio!$C$10*Engine!AF69+Portfolio!$C$11*Engine!AF81+Portfolio!$C$12*Engine!AF93+Portfolio!$C$13*Engine!AF105+Portfolio!$C$14*Engine!AF117+Portfolio!$C$15*Engine!AF129+Portfolio!$C$16*Engine!AF141+Portfolio!$C$17*Engine!AF153)</f>
        <v>0</v>
      </c>
      <c r="AG21" s="52" t="n">
        <f aca="false">(Portfolio!$C$5*Engine!AG9+Portfolio!$C$6*Engine!AG21+Portfolio!$C$7*Engine!AG33+Portfolio!$C$8*Engine!AG45+Portfolio!$C$9*Engine!AG57+Portfolio!$C$10*Engine!AG69+Portfolio!$C$11*Engine!AG81+Portfolio!$C$12*Engine!AG93+Portfolio!$C$13*Engine!AG105+Portfolio!$C$14*Engine!AG117+Portfolio!$C$15*Engine!AG129+Portfolio!$C$16*Engine!AG141+Portfolio!$C$17*Engine!AG153)</f>
        <v>0</v>
      </c>
      <c r="AH21" s="52" t="n">
        <f aca="false">(Portfolio!$C$5*Engine!AH9+Portfolio!$C$6*Engine!AH21+Portfolio!$C$7*Engine!AH33+Portfolio!$C$8*Engine!AH45+Portfolio!$C$9*Engine!AH57+Portfolio!$C$10*Engine!AH69+Portfolio!$C$11*Engine!AH81+Portfolio!$C$12*Engine!AH93+Portfolio!$C$13*Engine!AH105+Portfolio!$C$14*Engine!AH117+Portfolio!$C$15*Engine!AH129+Portfolio!$C$16*Engine!AH141+Portfolio!$C$17*Engine!AH153)</f>
        <v>0</v>
      </c>
    </row>
    <row r="22" customFormat="false" ht="15" hidden="false" customHeight="true" outlineLevel="0" collapsed="false">
      <c r="A22" s="33" t="s">
        <v>1447</v>
      </c>
      <c r="C22" s="46" t="n">
        <f aca="false">SUMPRODUCT(D22:AH22,Engine!D$5:AH$5)</f>
        <v>55720.7228776012</v>
      </c>
      <c r="D22" s="52" t="n">
        <f aca="false">Supply!D57</f>
        <v>0</v>
      </c>
      <c r="E22" s="52" t="n">
        <f aca="false">Supply!E57</f>
        <v>6004.81293290058</v>
      </c>
      <c r="F22" s="52" t="n">
        <f aca="false">Supply!F57</f>
        <v>6004.81293290058</v>
      </c>
      <c r="G22" s="52" t="n">
        <f aca="false">Supply!G57</f>
        <v>6004.81293290058</v>
      </c>
      <c r="H22" s="52" t="n">
        <f aca="false">Supply!H57</f>
        <v>6004.81293290058</v>
      </c>
      <c r="I22" s="52" t="n">
        <f aca="false">Supply!I57</f>
        <v>6004.81293290058</v>
      </c>
      <c r="J22" s="52" t="n">
        <f aca="false">Supply!J57</f>
        <v>6004.81293290058</v>
      </c>
      <c r="K22" s="52" t="n">
        <f aca="false">Supply!K57</f>
        <v>6004.81293290058</v>
      </c>
      <c r="L22" s="52" t="n">
        <f aca="false">Supply!L57</f>
        <v>6004.81293290058</v>
      </c>
      <c r="M22" s="52" t="n">
        <f aca="false">Supply!M57</f>
        <v>6004.81293290058</v>
      </c>
      <c r="N22" s="52" t="n">
        <f aca="false">Supply!N57</f>
        <v>6004.81293290058</v>
      </c>
      <c r="O22" s="52" t="n">
        <f aca="false">Supply!O57</f>
        <v>6004.81293290058</v>
      </c>
      <c r="P22" s="52" t="n">
        <f aca="false">Supply!P57</f>
        <v>6004.81293290058</v>
      </c>
      <c r="Q22" s="52" t="n">
        <f aca="false">Supply!Q57</f>
        <v>6004.81293290058</v>
      </c>
      <c r="R22" s="52" t="n">
        <f aca="false">Supply!R57</f>
        <v>6004.81293290058</v>
      </c>
      <c r="S22" s="52" t="n">
        <f aca="false">Supply!S57</f>
        <v>7322.74291495481</v>
      </c>
      <c r="T22" s="52" t="n">
        <f aca="false">Supply!T57</f>
        <v>12864.3559702804</v>
      </c>
      <c r="U22" s="52" t="n">
        <f aca="false">Supply!U57</f>
        <v>15350.7900348522</v>
      </c>
      <c r="V22" s="52" t="n">
        <f aca="false">Supply!V57</f>
        <v>15681.215522042</v>
      </c>
      <c r="W22" s="52" t="n">
        <f aca="false">Supply!W57</f>
        <v>15999.1153478649</v>
      </c>
      <c r="X22" s="52" t="n">
        <f aca="false">Supply!X57</f>
        <v>16304.7795825087</v>
      </c>
      <c r="Y22" s="52" t="n">
        <f aca="false">Supply!Y57</f>
        <v>16598.4925656071</v>
      </c>
      <c r="Z22" s="52" t="n">
        <f aca="false">Supply!Z57</f>
        <v>16880.5330108218</v>
      </c>
      <c r="AA22" s="52" t="n">
        <f aca="false">Supply!AA57</f>
        <v>17151.1741086033</v>
      </c>
      <c r="AB22" s="52" t="n">
        <f aca="false">Supply!AB57</f>
        <v>17410.6836271633</v>
      </c>
      <c r="AC22" s="52" t="n">
        <f aca="false">Supply!AC57</f>
        <v>17659.3240116874</v>
      </c>
      <c r="AD22" s="52" t="n">
        <f aca="false">Supply!AD57</f>
        <v>17897.352481818</v>
      </c>
      <c r="AE22" s="52" t="n">
        <f aca="false">Supply!AE57</f>
        <v>18125.0211274375</v>
      </c>
      <c r="AF22" s="52" t="n">
        <f aca="false">Supply!AF57</f>
        <v>18342.5770027794</v>
      </c>
      <c r="AG22" s="52" t="n">
        <f aca="false">Supply!AG57</f>
        <v>18550.2622188957</v>
      </c>
      <c r="AH22" s="52" t="n">
        <f aca="false">Supply!AH57</f>
        <v>18748.3140345096</v>
      </c>
    </row>
    <row r="23" customFormat="false" ht="15" hidden="false" customHeight="true" outlineLevel="0" collapsed="false">
      <c r="A23" s="33" t="s">
        <v>1448</v>
      </c>
      <c r="C23" s="46" t="n">
        <f aca="false">SUMPRODUCT(D23:AH23,Engine!D$5:AH$5)</f>
        <v>665901.722156797</v>
      </c>
      <c r="D23" s="52" t="n">
        <f aca="false">(Portfolio!$C$5*Engine!D11+Portfolio!$C$6*Engine!D23+Portfolio!$C$7*Engine!D35+Portfolio!$C$8*Engine!D47+Portfolio!$C$9*Engine!D59+Portfolio!$C$10*Engine!D71+Portfolio!$C$11*Engine!D83+Portfolio!$C$12*Engine!D95+Portfolio!$C$13*Engine!D107+Portfolio!$C$14*Engine!D119+Portfolio!$C$15*Engine!D131+Portfolio!$C$16*Engine!D143+Portfolio!$C$17*Engine!D155)</f>
        <v>0</v>
      </c>
      <c r="E23" s="52" t="n">
        <f aca="false">(Portfolio!$C$5*Engine!E11+Portfolio!$C$6*Engine!E23+Portfolio!$C$7*Engine!E35+Portfolio!$C$8*Engine!E47+Portfolio!$C$9*Engine!E59+Portfolio!$C$10*Engine!E71+Portfolio!$C$11*Engine!E83+Portfolio!$C$12*Engine!E95+Portfolio!$C$13*Engine!E107+Portfolio!$C$14*Engine!E119+Portfolio!$C$15*Engine!E131+Portfolio!$C$16*Engine!E143+Portfolio!$C$17*Engine!E155)</f>
        <v>89780.6766146038</v>
      </c>
      <c r="F23" s="52" t="n">
        <f aca="false">(Portfolio!$C$5*Engine!F11+Portfolio!$C$6*Engine!F23+Portfolio!$C$7*Engine!F35+Portfolio!$C$8*Engine!F47+Portfolio!$C$9*Engine!F59+Portfolio!$C$10*Engine!F71+Portfolio!$C$11*Engine!F83+Portfolio!$C$12*Engine!F95+Portfolio!$C$13*Engine!F107+Portfolio!$C$14*Engine!F119+Portfolio!$C$15*Engine!F131+Portfolio!$C$16*Engine!F143+Portfolio!$C$17*Engine!F155)</f>
        <v>89640.0766146038</v>
      </c>
      <c r="G23" s="52" t="n">
        <f aca="false">(Portfolio!$C$5*Engine!G11+Portfolio!$C$6*Engine!G23+Portfolio!$C$7*Engine!G35+Portfolio!$C$8*Engine!G47+Portfolio!$C$9*Engine!G59+Portfolio!$C$10*Engine!G71+Portfolio!$C$11*Engine!G83+Portfolio!$C$12*Engine!G95+Portfolio!$C$13*Engine!G107+Portfolio!$C$14*Engine!G119+Portfolio!$C$15*Engine!G131+Portfolio!$C$16*Engine!G143+Portfolio!$C$17*Engine!G155)</f>
        <v>89500.1796146038</v>
      </c>
      <c r="H23" s="52" t="n">
        <f aca="false">(Portfolio!$C$5*Engine!H11+Portfolio!$C$6*Engine!H23+Portfolio!$C$7*Engine!H35+Portfolio!$C$8*Engine!H47+Portfolio!$C$9*Engine!H59+Portfolio!$C$10*Engine!H71+Portfolio!$C$11*Engine!H83+Portfolio!$C$12*Engine!H95+Portfolio!$C$13*Engine!H107+Portfolio!$C$14*Engine!H119+Portfolio!$C$15*Engine!H131+Portfolio!$C$16*Engine!H143+Portfolio!$C$17*Engine!H155)</f>
        <v>89360.9820996038</v>
      </c>
      <c r="I23" s="52" t="n">
        <f aca="false">(Portfolio!$C$5*Engine!I11+Portfolio!$C$6*Engine!I23+Portfolio!$C$7*Engine!I35+Portfolio!$C$8*Engine!I47+Portfolio!$C$9*Engine!I59+Portfolio!$C$10*Engine!I71+Portfolio!$C$11*Engine!I83+Portfolio!$C$12*Engine!I95+Portfolio!$C$13*Engine!I107+Portfolio!$C$14*Engine!I119+Portfolio!$C$15*Engine!I131+Portfolio!$C$16*Engine!I143+Portfolio!$C$17*Engine!I155)</f>
        <v>89222.4805721788</v>
      </c>
      <c r="J23" s="52" t="n">
        <f aca="false">(Portfolio!$C$5*Engine!J11+Portfolio!$C$6*Engine!J23+Portfolio!$C$7*Engine!J35+Portfolio!$C$8*Engine!J47+Portfolio!$C$9*Engine!J59+Portfolio!$C$10*Engine!J71+Portfolio!$C$11*Engine!J83+Portfolio!$C$12*Engine!J95+Portfolio!$C$13*Engine!J107+Portfolio!$C$14*Engine!J119+Portfolio!$C$15*Engine!J131+Portfolio!$C$16*Engine!J143+Portfolio!$C$17*Engine!J155)</f>
        <v>89084.6715523909</v>
      </c>
      <c r="K23" s="52" t="n">
        <f aca="false">(Portfolio!$C$5*Engine!K11+Portfolio!$C$6*Engine!K23+Portfolio!$C$7*Engine!K35+Portfolio!$C$8*Engine!K47+Portfolio!$C$9*Engine!K59+Portfolio!$C$10*Engine!K71+Portfolio!$C$11*Engine!K83+Portfolio!$C$12*Engine!K95+Portfolio!$C$13*Engine!K107+Portfolio!$C$14*Engine!K119+Portfolio!$C$15*Engine!K131+Portfolio!$C$16*Engine!K143+Portfolio!$C$17*Engine!K155)</f>
        <v>88947.551577702</v>
      </c>
      <c r="L23" s="52" t="n">
        <f aca="false">(Portfolio!$C$5*Engine!L11+Portfolio!$C$6*Engine!L23+Portfolio!$C$7*Engine!L35+Portfolio!$C$8*Engine!L47+Portfolio!$C$9*Engine!L59+Portfolio!$C$10*Engine!L71+Portfolio!$C$11*Engine!L83+Portfolio!$C$12*Engine!L95+Portfolio!$C$13*Engine!L107+Portfolio!$C$14*Engine!L119+Portfolio!$C$15*Engine!L131+Portfolio!$C$16*Engine!L143+Portfolio!$C$17*Engine!L155)</f>
        <v>88811.1172028865</v>
      </c>
      <c r="M23" s="52" t="n">
        <f aca="false">(Portfolio!$C$5*Engine!M11+Portfolio!$C$6*Engine!M23+Portfolio!$C$7*Engine!M35+Portfolio!$C$8*Engine!M47+Portfolio!$C$9*Engine!M59+Portfolio!$C$10*Engine!M71+Portfolio!$C$11*Engine!M83+Portfolio!$C$12*Engine!M95+Portfolio!$C$13*Engine!M107+Portfolio!$C$14*Engine!M119+Portfolio!$C$15*Engine!M131+Portfolio!$C$16*Engine!M143+Portfolio!$C$17*Engine!M155)</f>
        <v>88675.364999945</v>
      </c>
      <c r="N23" s="52" t="n">
        <f aca="false">(Portfolio!$C$5*Engine!N11+Portfolio!$C$6*Engine!N23+Portfolio!$C$7*Engine!N35+Portfolio!$C$8*Engine!N47+Portfolio!$C$9*Engine!N59+Portfolio!$C$10*Engine!N71+Portfolio!$C$11*Engine!N83+Portfolio!$C$12*Engine!N95+Portfolio!$C$13*Engine!N107+Portfolio!$C$14*Engine!N119+Portfolio!$C$15*Engine!N131+Portfolio!$C$16*Engine!N143+Portfolio!$C$17*Engine!N155)</f>
        <v>88540.2915580183</v>
      </c>
      <c r="O23" s="52" t="n">
        <f aca="false">(Portfolio!$C$5*Engine!O11+Portfolio!$C$6*Engine!O23+Portfolio!$C$7*Engine!O35+Portfolio!$C$8*Engine!O47+Portfolio!$C$9*Engine!O59+Portfolio!$C$10*Engine!O71+Portfolio!$C$11*Engine!O83+Portfolio!$C$12*Engine!O95+Portfolio!$C$13*Engine!O107+Portfolio!$C$14*Engine!O119+Portfolio!$C$15*Engine!O131+Portfolio!$C$16*Engine!O143+Portfolio!$C$17*Engine!O155)</f>
        <v>88405.8934833013</v>
      </c>
      <c r="P23" s="52" t="n">
        <f aca="false">(Portfolio!$C$5*Engine!P11+Portfolio!$C$6*Engine!P23+Portfolio!$C$7*Engine!P35+Portfolio!$C$8*Engine!P47+Portfolio!$C$9*Engine!P59+Portfolio!$C$10*Engine!P71+Portfolio!$C$11*Engine!P83+Portfolio!$C$12*Engine!P95+Portfolio!$C$13*Engine!P107+Portfolio!$C$14*Engine!P119+Portfolio!$C$15*Engine!P131+Portfolio!$C$16*Engine!P143+Portfolio!$C$17*Engine!P155)</f>
        <v>88272.1673989578</v>
      </c>
      <c r="Q23" s="52" t="n">
        <f aca="false">(Portfolio!$C$5*Engine!Q11+Portfolio!$C$6*Engine!Q23+Portfolio!$C$7*Engine!Q35+Portfolio!$C$8*Engine!Q47+Portfolio!$C$9*Engine!Q59+Portfolio!$C$10*Engine!Q71+Portfolio!$C$11*Engine!Q83+Portfolio!$C$12*Engine!Q95+Portfolio!$C$13*Engine!Q107+Portfolio!$C$14*Engine!Q119+Portfolio!$C$15*Engine!Q131+Portfolio!$C$16*Engine!Q143+Portfolio!$C$17*Engine!Q155)</f>
        <v>88139.109945036</v>
      </c>
      <c r="R23" s="52" t="n">
        <f aca="false">(Portfolio!$C$5*Engine!R11+Portfolio!$C$6*Engine!R23+Portfolio!$C$7*Engine!R35+Portfolio!$C$8*Engine!R47+Portfolio!$C$9*Engine!R59+Portfolio!$C$10*Engine!R71+Portfolio!$C$11*Engine!R83+Portfolio!$C$12*Engine!R95+Portfolio!$C$13*Engine!R107+Portfolio!$C$14*Engine!R119+Portfolio!$C$15*Engine!R131+Portfolio!$C$16*Engine!R143+Portfolio!$C$17*Engine!R155)</f>
        <v>88006.7177783838</v>
      </c>
      <c r="S23" s="52" t="n">
        <f aca="false">(Portfolio!$C$5*Engine!S11+Portfolio!$C$6*Engine!S23+Portfolio!$C$7*Engine!S35+Portfolio!$C$8*Engine!S47+Portfolio!$C$9*Engine!S59+Portfolio!$C$10*Engine!S71+Portfolio!$C$11*Engine!S83+Portfolio!$C$12*Engine!S95+Portfolio!$C$13*Engine!S107+Portfolio!$C$14*Engine!S119+Portfolio!$C$15*Engine!S131+Portfolio!$C$16*Engine!S143+Portfolio!$C$17*Engine!S155)</f>
        <v>87874.987572565</v>
      </c>
      <c r="T23" s="52" t="n">
        <f aca="false">(Portfolio!$C$5*Engine!T11+Portfolio!$C$6*Engine!T23+Portfolio!$C$7*Engine!T35+Portfolio!$C$8*Engine!T47+Portfolio!$C$9*Engine!T59+Portfolio!$C$10*Engine!T71+Portfolio!$C$11*Engine!T83+Portfolio!$C$12*Engine!T95+Portfolio!$C$13*Engine!T107+Portfolio!$C$14*Engine!T119+Portfolio!$C$15*Engine!T131+Portfolio!$C$16*Engine!T143+Portfolio!$C$17*Engine!T155)</f>
        <v>87743.9160177751</v>
      </c>
      <c r="U23" s="52" t="n">
        <f aca="false">(Portfolio!$C$5*Engine!U11+Portfolio!$C$6*Engine!U23+Portfolio!$C$7*Engine!U35+Portfolio!$C$8*Engine!U47+Portfolio!$C$9*Engine!U59+Portfolio!$C$10*Engine!U71+Portfolio!$C$11*Engine!U83+Portfolio!$C$12*Engine!U95+Portfolio!$C$13*Engine!U107+Portfolio!$C$14*Engine!U119+Portfolio!$C$15*Engine!U131+Portfolio!$C$16*Engine!U143+Portfolio!$C$17*Engine!U155)</f>
        <v>87613.4998207593</v>
      </c>
      <c r="V23" s="52" t="n">
        <f aca="false">(Portfolio!$C$5*Engine!V11+Portfolio!$C$6*Engine!V23+Portfolio!$C$7*Engine!V35+Portfolio!$C$8*Engine!V47+Portfolio!$C$9*Engine!V59+Portfolio!$C$10*Engine!V71+Portfolio!$C$11*Engine!V83+Portfolio!$C$12*Engine!V95+Portfolio!$C$13*Engine!V107+Portfolio!$C$14*Engine!V119+Portfolio!$C$15*Engine!V131+Portfolio!$C$16*Engine!V143+Portfolio!$C$17*Engine!V155)</f>
        <v>87483.7357047285</v>
      </c>
      <c r="W23" s="52" t="n">
        <f aca="false">(Portfolio!$C$5*Engine!W11+Portfolio!$C$6*Engine!W23+Portfolio!$C$7*Engine!W35+Portfolio!$C$8*Engine!W47+Portfolio!$C$9*Engine!W59+Portfolio!$C$10*Engine!W71+Portfolio!$C$11*Engine!W83+Portfolio!$C$12*Engine!W95+Portfolio!$C$13*Engine!W107+Portfolio!$C$14*Engine!W119+Portfolio!$C$15*Engine!W131+Portfolio!$C$16*Engine!W143+Portfolio!$C$17*Engine!W155)</f>
        <v>87354.6204092779</v>
      </c>
      <c r="X23" s="52" t="n">
        <f aca="false">(Portfolio!$C$5*Engine!X11+Portfolio!$C$6*Engine!X23+Portfolio!$C$7*Engine!X35+Portfolio!$C$8*Engine!X47+Portfolio!$C$9*Engine!X59+Portfolio!$C$10*Engine!X71+Portfolio!$C$11*Engine!X83+Portfolio!$C$12*Engine!X95+Portfolio!$C$13*Engine!X107+Portfolio!$C$14*Engine!X119+Portfolio!$C$15*Engine!X131+Portfolio!$C$16*Engine!X143+Portfolio!$C$17*Engine!X155)</f>
        <v>87226.1506903045</v>
      </c>
      <c r="Y23" s="52" t="n">
        <f aca="false">(Portfolio!$C$5*Engine!Y11+Portfolio!$C$6*Engine!Y23+Portfolio!$C$7*Engine!Y35+Portfolio!$C$8*Engine!Y47+Portfolio!$C$9*Engine!Y59+Portfolio!$C$10*Engine!Y71+Portfolio!$C$11*Engine!Y83+Portfolio!$C$12*Engine!Y95+Portfolio!$C$13*Engine!Y107+Portfolio!$C$14*Engine!Y119+Portfolio!$C$15*Engine!Y131+Portfolio!$C$16*Engine!Y143+Portfolio!$C$17*Engine!Y155)</f>
        <v>87098.323319926</v>
      </c>
      <c r="Z23" s="52" t="n">
        <f aca="false">(Portfolio!$C$5*Engine!Z11+Portfolio!$C$6*Engine!Z23+Portfolio!$C$7*Engine!Z35+Portfolio!$C$8*Engine!Z47+Portfolio!$C$9*Engine!Z59+Portfolio!$C$10*Engine!Z71+Portfolio!$C$11*Engine!Z83+Portfolio!$C$12*Engine!Z95+Portfolio!$C$13*Engine!Z107+Portfolio!$C$14*Engine!Z119+Portfolio!$C$15*Engine!Z131+Portfolio!$C$16*Engine!Z143+Portfolio!$C$17*Engine!Z155)</f>
        <v>86971.1350863994</v>
      </c>
      <c r="AA23" s="52" t="n">
        <f aca="false">(Portfolio!$C$5*Engine!AA11+Portfolio!$C$6*Engine!AA23+Portfolio!$C$7*Engine!AA35+Portfolio!$C$8*Engine!AA47+Portfolio!$C$9*Engine!AA59+Portfolio!$C$10*Engine!AA71+Portfolio!$C$11*Engine!AA83+Portfolio!$C$12*Engine!AA95+Portfolio!$C$13*Engine!AA107+Portfolio!$C$14*Engine!AA119+Portfolio!$C$15*Engine!AA131+Portfolio!$C$16*Engine!AA143+Portfolio!$C$17*Engine!AA155)</f>
        <v>86844.5827940404</v>
      </c>
      <c r="AB23" s="52" t="n">
        <f aca="false">(Portfolio!$C$5*Engine!AB11+Portfolio!$C$6*Engine!AB23+Portfolio!$C$7*Engine!AB35+Portfolio!$C$8*Engine!AB47+Portfolio!$C$9*Engine!AB59+Portfolio!$C$10*Engine!AB71+Portfolio!$C$11*Engine!AB83+Portfolio!$C$12*Engine!AB95+Portfolio!$C$13*Engine!AB107+Portfolio!$C$14*Engine!AB119+Portfolio!$C$15*Engine!AB131+Portfolio!$C$16*Engine!AB143+Portfolio!$C$17*Engine!AB155)</f>
        <v>86718.6632631432</v>
      </c>
      <c r="AC23" s="52" t="n">
        <f aca="false">(Portfolio!$C$5*Engine!AC11+Portfolio!$C$6*Engine!AC23+Portfolio!$C$7*Engine!AC35+Portfolio!$C$8*Engine!AC47+Portfolio!$C$9*Engine!AC59+Portfolio!$C$10*Engine!AC71+Portfolio!$C$11*Engine!AC83+Portfolio!$C$12*Engine!AC95+Portfolio!$C$13*Engine!AC107+Portfolio!$C$14*Engine!AC119+Portfolio!$C$15*Engine!AC131+Portfolio!$C$16*Engine!AC143+Portfolio!$C$17*Engine!AC155)</f>
        <v>86593.3733299005</v>
      </c>
      <c r="AD23" s="52" t="n">
        <f aca="false">(Portfolio!$C$5*Engine!AD11+Portfolio!$C$6*Engine!AD23+Portfolio!$C$7*Engine!AD35+Portfolio!$C$8*Engine!AD47+Portfolio!$C$9*Engine!AD59+Portfolio!$C$10*Engine!AD71+Portfolio!$C$11*Engine!AD83+Portfolio!$C$12*Engine!AD95+Portfolio!$C$13*Engine!AD107+Portfolio!$C$14*Engine!AD119+Portfolio!$C$15*Engine!AD131+Portfolio!$C$16*Engine!AD143+Portfolio!$C$17*Engine!AD155)</f>
        <v>86468.7098463241</v>
      </c>
      <c r="AE23" s="52" t="n">
        <f aca="false">(Portfolio!$C$5*Engine!AE11+Portfolio!$C$6*Engine!AE23+Portfolio!$C$7*Engine!AE35+Portfolio!$C$8*Engine!AE47+Portfolio!$C$9*Engine!AE59+Portfolio!$C$10*Engine!AE71+Portfolio!$C$11*Engine!AE83+Portfolio!$C$12*Engine!AE95+Portfolio!$C$13*Engine!AE107+Portfolio!$C$14*Engine!AE119+Portfolio!$C$15*Engine!AE131+Portfolio!$C$16*Engine!AE143+Portfolio!$C$17*Engine!AE155)</f>
        <v>86344.6696801655</v>
      </c>
      <c r="AF23" s="52" t="n">
        <f aca="false">(Portfolio!$C$5*Engine!AF11+Portfolio!$C$6*Engine!AF23+Portfolio!$C$7*Engine!AF35+Portfolio!$C$8*Engine!AF47+Portfolio!$C$9*Engine!AF59+Portfolio!$C$10*Engine!AF71+Portfolio!$C$11*Engine!AF83+Portfolio!$C$12*Engine!AF95+Portfolio!$C$13*Engine!AF107+Portfolio!$C$14*Engine!AF119+Portfolio!$C$15*Engine!AF131+Portfolio!$C$16*Engine!AF143+Portfolio!$C$17*Engine!AF155)</f>
        <v>86221.2497148376</v>
      </c>
      <c r="AG23" s="52" t="n">
        <f aca="false">(Portfolio!$C$5*Engine!AG11+Portfolio!$C$6*Engine!AG23+Portfolio!$C$7*Engine!AG35+Portfolio!$C$8*Engine!AG47+Portfolio!$C$9*Engine!AG59+Portfolio!$C$10*Engine!AG71+Portfolio!$C$11*Engine!AG83+Portfolio!$C$12*Engine!AG95+Portfolio!$C$13*Engine!AG107+Portfolio!$C$14*Engine!AG119+Portfolio!$C$15*Engine!AG131+Portfolio!$C$16*Engine!AG143+Portfolio!$C$17*Engine!AG155)</f>
        <v>86098.4468493365</v>
      </c>
      <c r="AH23" s="52" t="n">
        <f aca="false">(Portfolio!$C$5*Engine!AH11+Portfolio!$C$6*Engine!AH23+Portfolio!$C$7*Engine!AH35+Portfolio!$C$8*Engine!AH47+Portfolio!$C$9*Engine!AH59+Portfolio!$C$10*Engine!AH71+Portfolio!$C$11*Engine!AH83+Portfolio!$C$12*Engine!AH95+Portfolio!$C$13*Engine!AH107+Portfolio!$C$14*Engine!AH119+Portfolio!$C$15*Engine!AH131+Portfolio!$C$16*Engine!AH143+Portfolio!$C$17*Engine!AH155)</f>
        <v>85976.2579981628</v>
      </c>
    </row>
    <row r="24" customFormat="false" ht="15" hidden="false" customHeight="true" outlineLevel="0" collapsed="false">
      <c r="A24" s="33" t="s">
        <v>1449</v>
      </c>
      <c r="C24" s="46" t="n">
        <f aca="false">SUMPRODUCT(D24:AH24,Engine!D$5:AH$5)</f>
        <v>0</v>
      </c>
      <c r="D24" s="52" t="n">
        <f aca="false">-Portfolio!$C$10*Portfolio!$C$17*(1-in_N05)*IF(D$19=0,0,in_H05*(c_rec0-c_rec1))</f>
        <v>-0</v>
      </c>
      <c r="E24" s="52" t="n">
        <f aca="false">-Portfolio!$C$10*Portfolio!$C$17*(1-in_N05)*IF(E$19=0,0,in_H05*(c_rec0-c_rec1))</f>
        <v>-0</v>
      </c>
      <c r="F24" s="52" t="n">
        <f aca="false">-Portfolio!$C$10*Portfolio!$C$17*(1-in_N05)*IF(F$19=0,0,in_H05*(c_rec0-c_rec1))</f>
        <v>-0</v>
      </c>
      <c r="G24" s="52" t="n">
        <f aca="false">-Portfolio!$C$10*Portfolio!$C$17*(1-in_N05)*IF(G$19=0,0,in_H05*(c_rec0-c_rec1))</f>
        <v>-0</v>
      </c>
      <c r="H24" s="52" t="n">
        <f aca="false">-Portfolio!$C$10*Portfolio!$C$17*(1-in_N05)*IF(H$19=0,0,in_H05*(c_rec0-c_rec1))</f>
        <v>-0</v>
      </c>
      <c r="I24" s="52" t="n">
        <f aca="false">-Portfolio!$C$10*Portfolio!$C$17*(1-in_N05)*IF(I$19=0,0,in_H05*(c_rec0-c_rec1))</f>
        <v>-0</v>
      </c>
      <c r="J24" s="52" t="n">
        <f aca="false">-Portfolio!$C$10*Portfolio!$C$17*(1-in_N05)*IF(J$19=0,0,in_H05*(c_rec0-c_rec1))</f>
        <v>-0</v>
      </c>
      <c r="K24" s="52" t="n">
        <f aca="false">-Portfolio!$C$10*Portfolio!$C$17*(1-in_N05)*IF(K$19=0,0,in_H05*(c_rec0-c_rec1))</f>
        <v>-0</v>
      </c>
      <c r="L24" s="52" t="n">
        <f aca="false">-Portfolio!$C$10*Portfolio!$C$17*(1-in_N05)*IF(L$19=0,0,in_H05*(c_rec0-c_rec1))</f>
        <v>-0</v>
      </c>
      <c r="M24" s="52" t="n">
        <f aca="false">-Portfolio!$C$10*Portfolio!$C$17*(1-in_N05)*IF(M$19=0,0,in_H05*(c_rec0-c_rec1))</f>
        <v>-0</v>
      </c>
      <c r="N24" s="52" t="n">
        <f aca="false">-Portfolio!$C$10*Portfolio!$C$17*(1-in_N05)*IF(N$19=0,0,in_H05*(c_rec0-c_rec1))</f>
        <v>-0</v>
      </c>
      <c r="O24" s="52" t="n">
        <f aca="false">-Portfolio!$C$10*Portfolio!$C$17*(1-in_N05)*IF(O$19=0,0,in_H05*(c_rec0-c_rec1))</f>
        <v>-0</v>
      </c>
      <c r="P24" s="52" t="n">
        <f aca="false">-Portfolio!$C$10*Portfolio!$C$17*(1-in_N05)*IF(P$19=0,0,in_H05*(c_rec0-c_rec1))</f>
        <v>-0</v>
      </c>
      <c r="Q24" s="52" t="n">
        <f aca="false">-Portfolio!$C$10*Portfolio!$C$17*(1-in_N05)*IF(Q$19=0,0,in_H05*(c_rec0-c_rec1))</f>
        <v>-0</v>
      </c>
      <c r="R24" s="52" t="n">
        <f aca="false">-Portfolio!$C$10*Portfolio!$C$17*(1-in_N05)*IF(R$19=0,0,in_H05*(c_rec0-c_rec1))</f>
        <v>-0</v>
      </c>
      <c r="S24" s="52" t="n">
        <f aca="false">-Portfolio!$C$10*Portfolio!$C$17*(1-in_N05)*IF(S$19=0,0,in_H05*(c_rec0-c_rec1))</f>
        <v>-0</v>
      </c>
      <c r="T24" s="52" t="n">
        <f aca="false">-Portfolio!$C$10*Portfolio!$C$17*(1-in_N05)*IF(T$19=0,0,in_H05*(c_rec0-c_rec1))</f>
        <v>-0</v>
      </c>
      <c r="U24" s="52" t="n">
        <f aca="false">-Portfolio!$C$10*Portfolio!$C$17*(1-in_N05)*IF(U$19=0,0,in_H05*(c_rec0-c_rec1))</f>
        <v>-0</v>
      </c>
      <c r="V24" s="52" t="n">
        <f aca="false">-Portfolio!$C$10*Portfolio!$C$17*(1-in_N05)*IF(V$19=0,0,in_H05*(c_rec0-c_rec1))</f>
        <v>-0</v>
      </c>
      <c r="W24" s="52" t="n">
        <f aca="false">-Portfolio!$C$10*Portfolio!$C$17*(1-in_N05)*IF(W$19=0,0,in_H05*(c_rec0-c_rec1))</f>
        <v>-0</v>
      </c>
      <c r="X24" s="52" t="n">
        <f aca="false">-Portfolio!$C$10*Portfolio!$C$17*(1-in_N05)*IF(X$19=0,0,in_H05*(c_rec0-c_rec1))</f>
        <v>-0</v>
      </c>
      <c r="Y24" s="52" t="n">
        <f aca="false">-Portfolio!$C$10*Portfolio!$C$17*(1-in_N05)*IF(Y$19=0,0,in_H05*(c_rec0-c_rec1))</f>
        <v>-0</v>
      </c>
      <c r="Z24" s="52" t="n">
        <f aca="false">-Portfolio!$C$10*Portfolio!$C$17*(1-in_N05)*IF(Z$19=0,0,in_H05*(c_rec0-c_rec1))</f>
        <v>-0</v>
      </c>
      <c r="AA24" s="52" t="n">
        <f aca="false">-Portfolio!$C$10*Portfolio!$C$17*(1-in_N05)*IF(AA$19=0,0,in_H05*(c_rec0-c_rec1))</f>
        <v>-0</v>
      </c>
      <c r="AB24" s="52" t="n">
        <f aca="false">-Portfolio!$C$10*Portfolio!$C$17*(1-in_N05)*IF(AB$19=0,0,in_H05*(c_rec0-c_rec1))</f>
        <v>-0</v>
      </c>
      <c r="AC24" s="52" t="n">
        <f aca="false">-Portfolio!$C$10*Portfolio!$C$17*(1-in_N05)*IF(AC$19=0,0,in_H05*(c_rec0-c_rec1))</f>
        <v>-0</v>
      </c>
      <c r="AD24" s="52" t="n">
        <f aca="false">-Portfolio!$C$10*Portfolio!$C$17*(1-in_N05)*IF(AD$19=0,0,in_H05*(c_rec0-c_rec1))</f>
        <v>-0</v>
      </c>
      <c r="AE24" s="52" t="n">
        <f aca="false">-Portfolio!$C$10*Portfolio!$C$17*(1-in_N05)*IF(AE$19=0,0,in_H05*(c_rec0-c_rec1))</f>
        <v>-0</v>
      </c>
      <c r="AF24" s="52" t="n">
        <f aca="false">-Portfolio!$C$10*Portfolio!$C$17*(1-in_N05)*IF(AF$19=0,0,in_H05*(c_rec0-c_rec1))</f>
        <v>-0</v>
      </c>
      <c r="AG24" s="52" t="n">
        <f aca="false">-Portfolio!$C$10*Portfolio!$C$17*(1-in_N05)*IF(AG$19=0,0,in_H05*(c_rec0-c_rec1))</f>
        <v>-0</v>
      </c>
      <c r="AH24" s="52" t="n">
        <f aca="false">-Portfolio!$C$10*Portfolio!$C$17*(1-in_N05)*IF(AH$19=0,0,in_H05*(c_rec0-c_rec1))</f>
        <v>-0</v>
      </c>
    </row>
    <row r="25" customFormat="false" ht="15" hidden="false" customHeight="true" outlineLevel="0" collapsed="false">
      <c r="A25" s="33" t="s">
        <v>1450</v>
      </c>
      <c r="C25" s="46" t="n">
        <f aca="false">SUMPRODUCT(D25:AH25,Engine!D$5:AH$5)</f>
        <v>0</v>
      </c>
      <c r="D25" s="52" t="n">
        <f aca="false">-Portfolio!$C$12*Portfolio!$C$14*Engine!D95</f>
        <v>-0</v>
      </c>
      <c r="E25" s="52" t="n">
        <f aca="false">-Portfolio!$C$12*Portfolio!$C$14*Engine!E95</f>
        <v>-0</v>
      </c>
      <c r="F25" s="52" t="n">
        <f aca="false">-Portfolio!$C$12*Portfolio!$C$14*Engine!F95</f>
        <v>-0</v>
      </c>
      <c r="G25" s="52" t="n">
        <f aca="false">-Portfolio!$C$12*Portfolio!$C$14*Engine!G95</f>
        <v>-0</v>
      </c>
      <c r="H25" s="52" t="n">
        <f aca="false">-Portfolio!$C$12*Portfolio!$C$14*Engine!H95</f>
        <v>-0</v>
      </c>
      <c r="I25" s="52" t="n">
        <f aca="false">-Portfolio!$C$12*Portfolio!$C$14*Engine!I95</f>
        <v>-0</v>
      </c>
      <c r="J25" s="52" t="n">
        <f aca="false">-Portfolio!$C$12*Portfolio!$C$14*Engine!J95</f>
        <v>-0</v>
      </c>
      <c r="K25" s="52" t="n">
        <f aca="false">-Portfolio!$C$12*Portfolio!$C$14*Engine!K95</f>
        <v>-0</v>
      </c>
      <c r="L25" s="52" t="n">
        <f aca="false">-Portfolio!$C$12*Portfolio!$C$14*Engine!L95</f>
        <v>-0</v>
      </c>
      <c r="M25" s="52" t="n">
        <f aca="false">-Portfolio!$C$12*Portfolio!$C$14*Engine!M95</f>
        <v>-0</v>
      </c>
      <c r="N25" s="52" t="n">
        <f aca="false">-Portfolio!$C$12*Portfolio!$C$14*Engine!N95</f>
        <v>-0</v>
      </c>
      <c r="O25" s="52" t="n">
        <f aca="false">-Portfolio!$C$12*Portfolio!$C$14*Engine!O95</f>
        <v>-0</v>
      </c>
      <c r="P25" s="52" t="n">
        <f aca="false">-Portfolio!$C$12*Portfolio!$C$14*Engine!P95</f>
        <v>-0</v>
      </c>
      <c r="Q25" s="52" t="n">
        <f aca="false">-Portfolio!$C$12*Portfolio!$C$14*Engine!Q95</f>
        <v>-0</v>
      </c>
      <c r="R25" s="52" t="n">
        <f aca="false">-Portfolio!$C$12*Portfolio!$C$14*Engine!R95</f>
        <v>-0</v>
      </c>
      <c r="S25" s="52" t="n">
        <f aca="false">-Portfolio!$C$12*Portfolio!$C$14*Engine!S95</f>
        <v>-0</v>
      </c>
      <c r="T25" s="52" t="n">
        <f aca="false">-Portfolio!$C$12*Portfolio!$C$14*Engine!T95</f>
        <v>-0</v>
      </c>
      <c r="U25" s="52" t="n">
        <f aca="false">-Portfolio!$C$12*Portfolio!$C$14*Engine!U95</f>
        <v>-0</v>
      </c>
      <c r="V25" s="52" t="n">
        <f aca="false">-Portfolio!$C$12*Portfolio!$C$14*Engine!V95</f>
        <v>-0</v>
      </c>
      <c r="W25" s="52" t="n">
        <f aca="false">-Portfolio!$C$12*Portfolio!$C$14*Engine!W95</f>
        <v>-0</v>
      </c>
      <c r="X25" s="52" t="n">
        <f aca="false">-Portfolio!$C$12*Portfolio!$C$14*Engine!X95</f>
        <v>-0</v>
      </c>
      <c r="Y25" s="52" t="n">
        <f aca="false">-Portfolio!$C$12*Portfolio!$C$14*Engine!Y95</f>
        <v>-0</v>
      </c>
      <c r="Z25" s="52" t="n">
        <f aca="false">-Portfolio!$C$12*Portfolio!$C$14*Engine!Z95</f>
        <v>-0</v>
      </c>
      <c r="AA25" s="52" t="n">
        <f aca="false">-Portfolio!$C$12*Portfolio!$C$14*Engine!AA95</f>
        <v>-0</v>
      </c>
      <c r="AB25" s="52" t="n">
        <f aca="false">-Portfolio!$C$12*Portfolio!$C$14*Engine!AB95</f>
        <v>-0</v>
      </c>
      <c r="AC25" s="52" t="n">
        <f aca="false">-Portfolio!$C$12*Portfolio!$C$14*Engine!AC95</f>
        <v>-0</v>
      </c>
      <c r="AD25" s="52" t="n">
        <f aca="false">-Portfolio!$C$12*Portfolio!$C$14*Engine!AD95</f>
        <v>-0</v>
      </c>
      <c r="AE25" s="52" t="n">
        <f aca="false">-Portfolio!$C$12*Portfolio!$C$14*Engine!AE95</f>
        <v>-0</v>
      </c>
      <c r="AF25" s="52" t="n">
        <f aca="false">-Portfolio!$C$12*Portfolio!$C$14*Engine!AF95</f>
        <v>-0</v>
      </c>
      <c r="AG25" s="52" t="n">
        <f aca="false">-Portfolio!$C$12*Portfolio!$C$14*Engine!AG95</f>
        <v>-0</v>
      </c>
      <c r="AH25" s="52" t="n">
        <f aca="false">-Portfolio!$C$12*Portfolio!$C$14*Engine!AH95</f>
        <v>-0</v>
      </c>
    </row>
    <row r="26" customFormat="false" ht="15" hidden="false" customHeight="true" outlineLevel="0" collapsed="false">
      <c r="A26" s="33" t="s">
        <v>1451</v>
      </c>
      <c r="C26" s="46" t="n">
        <f aca="false">SUMPRODUCT(D26:AH26,Engine!D$5:AH$5)</f>
        <v>0</v>
      </c>
      <c r="D26" s="52" t="n">
        <f aca="false">-Portfolio!$C$11*Portfolio!$C$13*Engine!D107</f>
        <v>-0</v>
      </c>
      <c r="E26" s="52" t="n">
        <f aca="false">-Portfolio!$C$11*Portfolio!$C$13*Engine!E107</f>
        <v>-0</v>
      </c>
      <c r="F26" s="52" t="n">
        <f aca="false">-Portfolio!$C$11*Portfolio!$C$13*Engine!F107</f>
        <v>-0</v>
      </c>
      <c r="G26" s="52" t="n">
        <f aca="false">-Portfolio!$C$11*Portfolio!$C$13*Engine!G107</f>
        <v>-0</v>
      </c>
      <c r="H26" s="52" t="n">
        <f aca="false">-Portfolio!$C$11*Portfolio!$C$13*Engine!H107</f>
        <v>-0</v>
      </c>
      <c r="I26" s="52" t="n">
        <f aca="false">-Portfolio!$C$11*Portfolio!$C$13*Engine!I107</f>
        <v>-0</v>
      </c>
      <c r="J26" s="52" t="n">
        <f aca="false">-Portfolio!$C$11*Portfolio!$C$13*Engine!J107</f>
        <v>-0</v>
      </c>
      <c r="K26" s="52" t="n">
        <f aca="false">-Portfolio!$C$11*Portfolio!$C$13*Engine!K107</f>
        <v>-0</v>
      </c>
      <c r="L26" s="52" t="n">
        <f aca="false">-Portfolio!$C$11*Portfolio!$C$13*Engine!L107</f>
        <v>-0</v>
      </c>
      <c r="M26" s="52" t="n">
        <f aca="false">-Portfolio!$C$11*Portfolio!$C$13*Engine!M107</f>
        <v>-0</v>
      </c>
      <c r="N26" s="52" t="n">
        <f aca="false">-Portfolio!$C$11*Portfolio!$C$13*Engine!N107</f>
        <v>-0</v>
      </c>
      <c r="O26" s="52" t="n">
        <f aca="false">-Portfolio!$C$11*Portfolio!$C$13*Engine!O107</f>
        <v>-0</v>
      </c>
      <c r="P26" s="52" t="n">
        <f aca="false">-Portfolio!$C$11*Portfolio!$C$13*Engine!P107</f>
        <v>-0</v>
      </c>
      <c r="Q26" s="52" t="n">
        <f aca="false">-Portfolio!$C$11*Portfolio!$C$13*Engine!Q107</f>
        <v>-0</v>
      </c>
      <c r="R26" s="52" t="n">
        <f aca="false">-Portfolio!$C$11*Portfolio!$C$13*Engine!R107</f>
        <v>-0</v>
      </c>
      <c r="S26" s="52" t="n">
        <f aca="false">-Portfolio!$C$11*Portfolio!$C$13*Engine!S107</f>
        <v>-0</v>
      </c>
      <c r="T26" s="52" t="n">
        <f aca="false">-Portfolio!$C$11*Portfolio!$C$13*Engine!T107</f>
        <v>-0</v>
      </c>
      <c r="U26" s="52" t="n">
        <f aca="false">-Portfolio!$C$11*Portfolio!$C$13*Engine!U107</f>
        <v>-0</v>
      </c>
      <c r="V26" s="52" t="n">
        <f aca="false">-Portfolio!$C$11*Portfolio!$C$13*Engine!V107</f>
        <v>-0</v>
      </c>
      <c r="W26" s="52" t="n">
        <f aca="false">-Portfolio!$C$11*Portfolio!$C$13*Engine!W107</f>
        <v>-0</v>
      </c>
      <c r="X26" s="52" t="n">
        <f aca="false">-Portfolio!$C$11*Portfolio!$C$13*Engine!X107</f>
        <v>-0</v>
      </c>
      <c r="Y26" s="52" t="n">
        <f aca="false">-Portfolio!$C$11*Portfolio!$C$13*Engine!Y107</f>
        <v>-0</v>
      </c>
      <c r="Z26" s="52" t="n">
        <f aca="false">-Portfolio!$C$11*Portfolio!$C$13*Engine!Z107</f>
        <v>-0</v>
      </c>
      <c r="AA26" s="52" t="n">
        <f aca="false">-Portfolio!$C$11*Portfolio!$C$13*Engine!AA107</f>
        <v>-0</v>
      </c>
      <c r="AB26" s="52" t="n">
        <f aca="false">-Portfolio!$C$11*Portfolio!$C$13*Engine!AB107</f>
        <v>-0</v>
      </c>
      <c r="AC26" s="52" t="n">
        <f aca="false">-Portfolio!$C$11*Portfolio!$C$13*Engine!AC107</f>
        <v>-0</v>
      </c>
      <c r="AD26" s="52" t="n">
        <f aca="false">-Portfolio!$C$11*Portfolio!$C$13*Engine!AD107</f>
        <v>-0</v>
      </c>
      <c r="AE26" s="52" t="n">
        <f aca="false">-Portfolio!$C$11*Portfolio!$C$13*Engine!AE107</f>
        <v>-0</v>
      </c>
      <c r="AF26" s="52" t="n">
        <f aca="false">-Portfolio!$C$11*Portfolio!$C$13*Engine!AF107</f>
        <v>-0</v>
      </c>
      <c r="AG26" s="52" t="n">
        <f aca="false">-Portfolio!$C$11*Portfolio!$C$13*Engine!AG107</f>
        <v>-0</v>
      </c>
      <c r="AH26" s="52" t="n">
        <f aca="false">-Portfolio!$C$11*Portfolio!$C$13*Engine!AH107</f>
        <v>-0</v>
      </c>
    </row>
    <row r="27" customFormat="false" ht="15" hidden="false" customHeight="true" outlineLevel="0" collapsed="false">
      <c r="A27" s="33" t="s">
        <v>1452</v>
      </c>
      <c r="C27" s="46" t="n">
        <f aca="false">SUMPRODUCT(D27:AH27,Engine!D$5:AH$5)</f>
        <v>163060.302684145</v>
      </c>
      <c r="D27" s="52" t="n">
        <f aca="false">(Portfolio!$C$5*Engine!D12+Portfolio!$C$6*Engine!D24+Portfolio!$C$7*Engine!D36+Portfolio!$C$8*Engine!D48+Portfolio!$C$9*Engine!D60+Portfolio!$C$10*Engine!D72+Portfolio!$C$11*Engine!D84+Portfolio!$C$12*Engine!D96+Portfolio!$C$13*Engine!D108+Portfolio!$C$14*Engine!D120+Portfolio!$C$15*Engine!D132+Portfolio!$C$16*Engine!D144+Portfolio!$C$17*Engine!D156)</f>
        <v>0</v>
      </c>
      <c r="E27" s="52" t="n">
        <f aca="false">(Portfolio!$C$5*Engine!E12+Portfolio!$C$6*Engine!E24+Portfolio!$C$7*Engine!E36+Portfolio!$C$8*Engine!E48+Portfolio!$C$9*Engine!E60+Portfolio!$C$10*Engine!E72+Portfolio!$C$11*Engine!E84+Portfolio!$C$12*Engine!E96+Portfolio!$C$13*Engine!E108+Portfolio!$C$14*Engine!E120+Portfolio!$C$15*Engine!E132+Portfolio!$C$16*Engine!E144+Portfolio!$C$17*Engine!E156)</f>
        <v>21753.9810243275</v>
      </c>
      <c r="F27" s="52" t="n">
        <f aca="false">(Portfolio!$C$5*Engine!F12+Portfolio!$C$6*Engine!F24+Portfolio!$C$7*Engine!F36+Portfolio!$C$8*Engine!F48+Portfolio!$C$9*Engine!F60+Portfolio!$C$10*Engine!F72+Portfolio!$C$11*Engine!F84+Portfolio!$C$12*Engine!F96+Portfolio!$C$13*Engine!F108+Portfolio!$C$14*Engine!F120+Portfolio!$C$15*Engine!F132+Portfolio!$C$16*Engine!F144+Portfolio!$C$17*Engine!F156)</f>
        <v>21753.9810243275</v>
      </c>
      <c r="G27" s="52" t="n">
        <f aca="false">(Portfolio!$C$5*Engine!G12+Portfolio!$C$6*Engine!G24+Portfolio!$C$7*Engine!G36+Portfolio!$C$8*Engine!G48+Portfolio!$C$9*Engine!G60+Portfolio!$C$10*Engine!G72+Portfolio!$C$11*Engine!G84+Portfolio!$C$12*Engine!G96+Portfolio!$C$13*Engine!G108+Portfolio!$C$14*Engine!G120+Portfolio!$C$15*Engine!G132+Portfolio!$C$16*Engine!G144+Portfolio!$C$17*Engine!G156)</f>
        <v>21753.9810243275</v>
      </c>
      <c r="H27" s="52" t="n">
        <f aca="false">(Portfolio!$C$5*Engine!H12+Portfolio!$C$6*Engine!H24+Portfolio!$C$7*Engine!H36+Portfolio!$C$8*Engine!H48+Portfolio!$C$9*Engine!H60+Portfolio!$C$10*Engine!H72+Portfolio!$C$11*Engine!H84+Portfolio!$C$12*Engine!H96+Portfolio!$C$13*Engine!H108+Portfolio!$C$14*Engine!H120+Portfolio!$C$15*Engine!H132+Portfolio!$C$16*Engine!H144+Portfolio!$C$17*Engine!H156)</f>
        <v>21753.9810243275</v>
      </c>
      <c r="I27" s="52" t="n">
        <f aca="false">(Portfolio!$C$5*Engine!I12+Portfolio!$C$6*Engine!I24+Portfolio!$C$7*Engine!I36+Portfolio!$C$8*Engine!I48+Portfolio!$C$9*Engine!I60+Portfolio!$C$10*Engine!I72+Portfolio!$C$11*Engine!I84+Portfolio!$C$12*Engine!I96+Portfolio!$C$13*Engine!I108+Portfolio!$C$14*Engine!I120+Portfolio!$C$15*Engine!I132+Portfolio!$C$16*Engine!I144+Portfolio!$C$17*Engine!I156)</f>
        <v>21753.9810243275</v>
      </c>
      <c r="J27" s="52" t="n">
        <f aca="false">(Portfolio!$C$5*Engine!J12+Portfolio!$C$6*Engine!J24+Portfolio!$C$7*Engine!J36+Portfolio!$C$8*Engine!J48+Portfolio!$C$9*Engine!J60+Portfolio!$C$10*Engine!J72+Portfolio!$C$11*Engine!J84+Portfolio!$C$12*Engine!J96+Portfolio!$C$13*Engine!J108+Portfolio!$C$14*Engine!J120+Portfolio!$C$15*Engine!J132+Portfolio!$C$16*Engine!J144+Portfolio!$C$17*Engine!J156)</f>
        <v>21753.9810243275</v>
      </c>
      <c r="K27" s="52" t="n">
        <f aca="false">(Portfolio!$C$5*Engine!K12+Portfolio!$C$6*Engine!K24+Portfolio!$C$7*Engine!K36+Portfolio!$C$8*Engine!K48+Portfolio!$C$9*Engine!K60+Portfolio!$C$10*Engine!K72+Portfolio!$C$11*Engine!K84+Portfolio!$C$12*Engine!K96+Portfolio!$C$13*Engine!K108+Portfolio!$C$14*Engine!K120+Portfolio!$C$15*Engine!K132+Portfolio!$C$16*Engine!K144+Portfolio!$C$17*Engine!K156)</f>
        <v>21753.9810243275</v>
      </c>
      <c r="L27" s="52" t="n">
        <f aca="false">(Portfolio!$C$5*Engine!L12+Portfolio!$C$6*Engine!L24+Portfolio!$C$7*Engine!L36+Portfolio!$C$8*Engine!L48+Portfolio!$C$9*Engine!L60+Portfolio!$C$10*Engine!L72+Portfolio!$C$11*Engine!L84+Portfolio!$C$12*Engine!L96+Portfolio!$C$13*Engine!L108+Portfolio!$C$14*Engine!L120+Portfolio!$C$15*Engine!L132+Portfolio!$C$16*Engine!L144+Portfolio!$C$17*Engine!L156)</f>
        <v>21753.9810243275</v>
      </c>
      <c r="M27" s="52" t="n">
        <f aca="false">(Portfolio!$C$5*Engine!M12+Portfolio!$C$6*Engine!M24+Portfolio!$C$7*Engine!M36+Portfolio!$C$8*Engine!M48+Portfolio!$C$9*Engine!M60+Portfolio!$C$10*Engine!M72+Portfolio!$C$11*Engine!M84+Portfolio!$C$12*Engine!M96+Portfolio!$C$13*Engine!M108+Portfolio!$C$14*Engine!M120+Portfolio!$C$15*Engine!M132+Portfolio!$C$16*Engine!M144+Portfolio!$C$17*Engine!M156)</f>
        <v>21753.9810243275</v>
      </c>
      <c r="N27" s="52" t="n">
        <f aca="false">(Portfolio!$C$5*Engine!N12+Portfolio!$C$6*Engine!N24+Portfolio!$C$7*Engine!N36+Portfolio!$C$8*Engine!N48+Portfolio!$C$9*Engine!N60+Portfolio!$C$10*Engine!N72+Portfolio!$C$11*Engine!N84+Portfolio!$C$12*Engine!N96+Portfolio!$C$13*Engine!N108+Portfolio!$C$14*Engine!N120+Portfolio!$C$15*Engine!N132+Portfolio!$C$16*Engine!N144+Portfolio!$C$17*Engine!N156)</f>
        <v>21753.9810243275</v>
      </c>
      <c r="O27" s="52" t="n">
        <f aca="false">(Portfolio!$C$5*Engine!O12+Portfolio!$C$6*Engine!O24+Portfolio!$C$7*Engine!O36+Portfolio!$C$8*Engine!O48+Portfolio!$C$9*Engine!O60+Portfolio!$C$10*Engine!O72+Portfolio!$C$11*Engine!O84+Portfolio!$C$12*Engine!O96+Portfolio!$C$13*Engine!O108+Portfolio!$C$14*Engine!O120+Portfolio!$C$15*Engine!O132+Portfolio!$C$16*Engine!O144+Portfolio!$C$17*Engine!O156)</f>
        <v>21753.9810243275</v>
      </c>
      <c r="P27" s="52" t="n">
        <f aca="false">(Portfolio!$C$5*Engine!P12+Portfolio!$C$6*Engine!P24+Portfolio!$C$7*Engine!P36+Portfolio!$C$8*Engine!P48+Portfolio!$C$9*Engine!P60+Portfolio!$C$10*Engine!P72+Portfolio!$C$11*Engine!P84+Portfolio!$C$12*Engine!P96+Portfolio!$C$13*Engine!P108+Portfolio!$C$14*Engine!P120+Portfolio!$C$15*Engine!P132+Portfolio!$C$16*Engine!P144+Portfolio!$C$17*Engine!P156)</f>
        <v>21753.9810243275</v>
      </c>
      <c r="Q27" s="52" t="n">
        <f aca="false">(Portfolio!$C$5*Engine!Q12+Portfolio!$C$6*Engine!Q24+Portfolio!$C$7*Engine!Q36+Portfolio!$C$8*Engine!Q48+Portfolio!$C$9*Engine!Q60+Portfolio!$C$10*Engine!Q72+Portfolio!$C$11*Engine!Q84+Portfolio!$C$12*Engine!Q96+Portfolio!$C$13*Engine!Q108+Portfolio!$C$14*Engine!Q120+Portfolio!$C$15*Engine!Q132+Portfolio!$C$16*Engine!Q144+Portfolio!$C$17*Engine!Q156)</f>
        <v>21753.9810243275</v>
      </c>
      <c r="R27" s="52" t="n">
        <f aca="false">(Portfolio!$C$5*Engine!R12+Portfolio!$C$6*Engine!R24+Portfolio!$C$7*Engine!R36+Portfolio!$C$8*Engine!R48+Portfolio!$C$9*Engine!R60+Portfolio!$C$10*Engine!R72+Portfolio!$C$11*Engine!R84+Portfolio!$C$12*Engine!R96+Portfolio!$C$13*Engine!R108+Portfolio!$C$14*Engine!R120+Portfolio!$C$15*Engine!R132+Portfolio!$C$16*Engine!R144+Portfolio!$C$17*Engine!R156)</f>
        <v>21753.9810243275</v>
      </c>
      <c r="S27" s="52" t="n">
        <f aca="false">(Portfolio!$C$5*Engine!S12+Portfolio!$C$6*Engine!S24+Portfolio!$C$7*Engine!S36+Portfolio!$C$8*Engine!S48+Portfolio!$C$9*Engine!S60+Portfolio!$C$10*Engine!S72+Portfolio!$C$11*Engine!S84+Portfolio!$C$12*Engine!S96+Portfolio!$C$13*Engine!S108+Portfolio!$C$14*Engine!S120+Portfolio!$C$15*Engine!S132+Portfolio!$C$16*Engine!S144+Portfolio!$C$17*Engine!S156)</f>
        <v>21753.9810243275</v>
      </c>
      <c r="T27" s="52" t="n">
        <f aca="false">(Portfolio!$C$5*Engine!T12+Portfolio!$C$6*Engine!T24+Portfolio!$C$7*Engine!T36+Portfolio!$C$8*Engine!T48+Portfolio!$C$9*Engine!T60+Portfolio!$C$10*Engine!T72+Portfolio!$C$11*Engine!T84+Portfolio!$C$12*Engine!T96+Portfolio!$C$13*Engine!T108+Portfolio!$C$14*Engine!T120+Portfolio!$C$15*Engine!T132+Portfolio!$C$16*Engine!T144+Portfolio!$C$17*Engine!T156)</f>
        <v>21753.9810243275</v>
      </c>
      <c r="U27" s="52" t="n">
        <f aca="false">(Portfolio!$C$5*Engine!U12+Portfolio!$C$6*Engine!U24+Portfolio!$C$7*Engine!U36+Portfolio!$C$8*Engine!U48+Portfolio!$C$9*Engine!U60+Portfolio!$C$10*Engine!U72+Portfolio!$C$11*Engine!U84+Portfolio!$C$12*Engine!U96+Portfolio!$C$13*Engine!U108+Portfolio!$C$14*Engine!U120+Portfolio!$C$15*Engine!U132+Portfolio!$C$16*Engine!U144+Portfolio!$C$17*Engine!U156)</f>
        <v>21753.9810243275</v>
      </c>
      <c r="V27" s="52" t="n">
        <f aca="false">(Portfolio!$C$5*Engine!V12+Portfolio!$C$6*Engine!V24+Portfolio!$C$7*Engine!V36+Portfolio!$C$8*Engine!V48+Portfolio!$C$9*Engine!V60+Portfolio!$C$10*Engine!V72+Portfolio!$C$11*Engine!V84+Portfolio!$C$12*Engine!V96+Portfolio!$C$13*Engine!V108+Portfolio!$C$14*Engine!V120+Portfolio!$C$15*Engine!V132+Portfolio!$C$16*Engine!V144+Portfolio!$C$17*Engine!V156)</f>
        <v>21753.9810243275</v>
      </c>
      <c r="W27" s="52" t="n">
        <f aca="false">(Portfolio!$C$5*Engine!W12+Portfolio!$C$6*Engine!W24+Portfolio!$C$7*Engine!W36+Portfolio!$C$8*Engine!W48+Portfolio!$C$9*Engine!W60+Portfolio!$C$10*Engine!W72+Portfolio!$C$11*Engine!W84+Portfolio!$C$12*Engine!W96+Portfolio!$C$13*Engine!W108+Portfolio!$C$14*Engine!W120+Portfolio!$C$15*Engine!W132+Portfolio!$C$16*Engine!W144+Portfolio!$C$17*Engine!W156)</f>
        <v>21753.9810243275</v>
      </c>
      <c r="X27" s="52" t="n">
        <f aca="false">(Portfolio!$C$5*Engine!X12+Portfolio!$C$6*Engine!X24+Portfolio!$C$7*Engine!X36+Portfolio!$C$8*Engine!X48+Portfolio!$C$9*Engine!X60+Portfolio!$C$10*Engine!X72+Portfolio!$C$11*Engine!X84+Portfolio!$C$12*Engine!X96+Portfolio!$C$13*Engine!X108+Portfolio!$C$14*Engine!X120+Portfolio!$C$15*Engine!X132+Portfolio!$C$16*Engine!X144+Portfolio!$C$17*Engine!X156)</f>
        <v>21753.9810243275</v>
      </c>
      <c r="Y27" s="52" t="n">
        <f aca="false">(Portfolio!$C$5*Engine!Y12+Portfolio!$C$6*Engine!Y24+Portfolio!$C$7*Engine!Y36+Portfolio!$C$8*Engine!Y48+Portfolio!$C$9*Engine!Y60+Portfolio!$C$10*Engine!Y72+Portfolio!$C$11*Engine!Y84+Portfolio!$C$12*Engine!Y96+Portfolio!$C$13*Engine!Y108+Portfolio!$C$14*Engine!Y120+Portfolio!$C$15*Engine!Y132+Portfolio!$C$16*Engine!Y144+Portfolio!$C$17*Engine!Y156)</f>
        <v>21753.9810243275</v>
      </c>
      <c r="Z27" s="52" t="n">
        <f aca="false">(Portfolio!$C$5*Engine!Z12+Portfolio!$C$6*Engine!Z24+Portfolio!$C$7*Engine!Z36+Portfolio!$C$8*Engine!Z48+Portfolio!$C$9*Engine!Z60+Portfolio!$C$10*Engine!Z72+Portfolio!$C$11*Engine!Z84+Portfolio!$C$12*Engine!Z96+Portfolio!$C$13*Engine!Z108+Portfolio!$C$14*Engine!Z120+Portfolio!$C$15*Engine!Z132+Portfolio!$C$16*Engine!Z144+Portfolio!$C$17*Engine!Z156)</f>
        <v>21753.9810243275</v>
      </c>
      <c r="AA27" s="52" t="n">
        <f aca="false">(Portfolio!$C$5*Engine!AA12+Portfolio!$C$6*Engine!AA24+Portfolio!$C$7*Engine!AA36+Portfolio!$C$8*Engine!AA48+Portfolio!$C$9*Engine!AA60+Portfolio!$C$10*Engine!AA72+Portfolio!$C$11*Engine!AA84+Portfolio!$C$12*Engine!AA96+Portfolio!$C$13*Engine!AA108+Portfolio!$C$14*Engine!AA120+Portfolio!$C$15*Engine!AA132+Portfolio!$C$16*Engine!AA144+Portfolio!$C$17*Engine!AA156)</f>
        <v>21753.9810243275</v>
      </c>
      <c r="AB27" s="52" t="n">
        <f aca="false">(Portfolio!$C$5*Engine!AB12+Portfolio!$C$6*Engine!AB24+Portfolio!$C$7*Engine!AB36+Portfolio!$C$8*Engine!AB48+Portfolio!$C$9*Engine!AB60+Portfolio!$C$10*Engine!AB72+Portfolio!$C$11*Engine!AB84+Portfolio!$C$12*Engine!AB96+Portfolio!$C$13*Engine!AB108+Portfolio!$C$14*Engine!AB120+Portfolio!$C$15*Engine!AB132+Portfolio!$C$16*Engine!AB144+Portfolio!$C$17*Engine!AB156)</f>
        <v>21753.9810243275</v>
      </c>
      <c r="AC27" s="52" t="n">
        <f aca="false">(Portfolio!$C$5*Engine!AC12+Portfolio!$C$6*Engine!AC24+Portfolio!$C$7*Engine!AC36+Portfolio!$C$8*Engine!AC48+Portfolio!$C$9*Engine!AC60+Portfolio!$C$10*Engine!AC72+Portfolio!$C$11*Engine!AC84+Portfolio!$C$12*Engine!AC96+Portfolio!$C$13*Engine!AC108+Portfolio!$C$14*Engine!AC120+Portfolio!$C$15*Engine!AC132+Portfolio!$C$16*Engine!AC144+Portfolio!$C$17*Engine!AC156)</f>
        <v>21753.9810243275</v>
      </c>
      <c r="AD27" s="52" t="n">
        <f aca="false">(Portfolio!$C$5*Engine!AD12+Portfolio!$C$6*Engine!AD24+Portfolio!$C$7*Engine!AD36+Portfolio!$C$8*Engine!AD48+Portfolio!$C$9*Engine!AD60+Portfolio!$C$10*Engine!AD72+Portfolio!$C$11*Engine!AD84+Portfolio!$C$12*Engine!AD96+Portfolio!$C$13*Engine!AD108+Portfolio!$C$14*Engine!AD120+Portfolio!$C$15*Engine!AD132+Portfolio!$C$16*Engine!AD144+Portfolio!$C$17*Engine!AD156)</f>
        <v>21753.9810243275</v>
      </c>
      <c r="AE27" s="52" t="n">
        <f aca="false">(Portfolio!$C$5*Engine!AE12+Portfolio!$C$6*Engine!AE24+Portfolio!$C$7*Engine!AE36+Portfolio!$C$8*Engine!AE48+Portfolio!$C$9*Engine!AE60+Portfolio!$C$10*Engine!AE72+Portfolio!$C$11*Engine!AE84+Portfolio!$C$12*Engine!AE96+Portfolio!$C$13*Engine!AE108+Portfolio!$C$14*Engine!AE120+Portfolio!$C$15*Engine!AE132+Portfolio!$C$16*Engine!AE144+Portfolio!$C$17*Engine!AE156)</f>
        <v>21753.9810243275</v>
      </c>
      <c r="AF27" s="52" t="n">
        <f aca="false">(Portfolio!$C$5*Engine!AF12+Portfolio!$C$6*Engine!AF24+Portfolio!$C$7*Engine!AF36+Portfolio!$C$8*Engine!AF48+Portfolio!$C$9*Engine!AF60+Portfolio!$C$10*Engine!AF72+Portfolio!$C$11*Engine!AF84+Portfolio!$C$12*Engine!AF96+Portfolio!$C$13*Engine!AF108+Portfolio!$C$14*Engine!AF120+Portfolio!$C$15*Engine!AF132+Portfolio!$C$16*Engine!AF144+Portfolio!$C$17*Engine!AF156)</f>
        <v>21753.9810243275</v>
      </c>
      <c r="AG27" s="52" t="n">
        <f aca="false">(Portfolio!$C$5*Engine!AG12+Portfolio!$C$6*Engine!AG24+Portfolio!$C$7*Engine!AG36+Portfolio!$C$8*Engine!AG48+Portfolio!$C$9*Engine!AG60+Portfolio!$C$10*Engine!AG72+Portfolio!$C$11*Engine!AG84+Portfolio!$C$12*Engine!AG96+Portfolio!$C$13*Engine!AG108+Portfolio!$C$14*Engine!AG120+Portfolio!$C$15*Engine!AG132+Portfolio!$C$16*Engine!AG144+Portfolio!$C$17*Engine!AG156)</f>
        <v>21753.9810243275</v>
      </c>
      <c r="AH27" s="52" t="n">
        <f aca="false">(Portfolio!$C$5*Engine!AH12+Portfolio!$C$6*Engine!AH24+Portfolio!$C$7*Engine!AH36+Portfolio!$C$8*Engine!AH48+Portfolio!$C$9*Engine!AH60+Portfolio!$C$10*Engine!AH72+Portfolio!$C$11*Engine!AH84+Portfolio!$C$12*Engine!AH96+Portfolio!$C$13*Engine!AH108+Portfolio!$C$14*Engine!AH120+Portfolio!$C$15*Engine!AH132+Portfolio!$C$16*Engine!AH144+Portfolio!$C$17*Engine!AH156)</f>
        <v>21753.9810243275</v>
      </c>
    </row>
    <row r="28" customFormat="false" ht="15" hidden="false" customHeight="true" outlineLevel="0" collapsed="false">
      <c r="A28" s="33" t="s">
        <v>1453</v>
      </c>
      <c r="C28" s="46" t="n">
        <f aca="false">SUMPRODUCT(D28:AH28,Engine!D$5:AH$5)</f>
        <v>558562.142350253</v>
      </c>
      <c r="D28" s="52" t="n">
        <f aca="false">D22+D23+D24+D25+D26-D27</f>
        <v>0</v>
      </c>
      <c r="E28" s="52" t="n">
        <f aca="false">E22+E23+E24+E25+E26-E27</f>
        <v>74031.5085231768</v>
      </c>
      <c r="F28" s="52" t="n">
        <f aca="false">F22+F23+F24+F25+F26-F27</f>
        <v>73890.9085231768</v>
      </c>
      <c r="G28" s="52" t="n">
        <f aca="false">G22+G23+G24+G25+G26-G27</f>
        <v>73751.0115231768</v>
      </c>
      <c r="H28" s="52" t="n">
        <f aca="false">H22+H23+H24+H25+H26-H27</f>
        <v>73611.8140081768</v>
      </c>
      <c r="I28" s="52" t="n">
        <f aca="false">I22+I23+I24+I25+I26-I27</f>
        <v>73473.3124807518</v>
      </c>
      <c r="J28" s="52" t="n">
        <f aca="false">J22+J23+J24+J25+J26-J27</f>
        <v>73335.5034609639</v>
      </c>
      <c r="K28" s="52" t="n">
        <f aca="false">K22+K23+K24+K25+K26-K27</f>
        <v>73198.383486275</v>
      </c>
      <c r="L28" s="52" t="n">
        <f aca="false">L22+L23+L24+L25+L26-L27</f>
        <v>73061.9491114595</v>
      </c>
      <c r="M28" s="52" t="n">
        <f aca="false">M22+M23+M24+M25+M26-M27</f>
        <v>72926.1969085181</v>
      </c>
      <c r="N28" s="52" t="n">
        <f aca="false">N22+N23+N24+N25+N26-N27</f>
        <v>72791.1234665914</v>
      </c>
      <c r="O28" s="52" t="n">
        <f aca="false">O22+O23+O24+O25+O26-O27</f>
        <v>72656.7253918743</v>
      </c>
      <c r="P28" s="52" t="n">
        <f aca="false">P22+P23+P24+P25+P26-P27</f>
        <v>72522.9993075308</v>
      </c>
      <c r="Q28" s="52" t="n">
        <f aca="false">Q22+Q23+Q24+Q25+Q26-Q27</f>
        <v>72389.9418536091</v>
      </c>
      <c r="R28" s="52" t="n">
        <f aca="false">R22+R23+R24+R25+R26-R27</f>
        <v>72257.5496869569</v>
      </c>
      <c r="S28" s="52" t="n">
        <f aca="false">S22+S23+S24+S25+S26-S27</f>
        <v>73443.7494631922</v>
      </c>
      <c r="T28" s="52" t="n">
        <f aca="false">T22+T23+T24+T25+T26-T27</f>
        <v>78854.290963728</v>
      </c>
      <c r="U28" s="52" t="n">
        <f aca="false">U22+U23+U24+U25+U26-U27</f>
        <v>81210.308831284</v>
      </c>
      <c r="V28" s="52" t="n">
        <f aca="false">V22+V23+V24+V25+V26-V27</f>
        <v>81410.970202443</v>
      </c>
      <c r="W28" s="52" t="n">
        <f aca="false">W22+W23+W24+W25+W26-W27</f>
        <v>81599.7547328153</v>
      </c>
      <c r="X28" s="52" t="n">
        <f aca="false">X22+X23+X24+X25+X26-X27</f>
        <v>81776.9492484857</v>
      </c>
      <c r="Y28" s="52" t="n">
        <f aca="false">Y22+Y23+Y24+Y25+Y26-Y27</f>
        <v>81942.8348612055</v>
      </c>
      <c r="Z28" s="52" t="n">
        <f aca="false">Z22+Z23+Z24+Z25+Z26-Z27</f>
        <v>82097.6870728936</v>
      </c>
      <c r="AA28" s="52" t="n">
        <f aca="false">AA22+AA23+AA24+AA25+AA26-AA27</f>
        <v>82241.7758783162</v>
      </c>
      <c r="AB28" s="52" t="n">
        <f aca="false">AB22+AB23+AB24+AB25+AB26-AB27</f>
        <v>82375.365865979</v>
      </c>
      <c r="AC28" s="52" t="n">
        <f aca="false">AC22+AC23+AC24+AC25+AC26-AC27</f>
        <v>82498.7163172604</v>
      </c>
      <c r="AD28" s="52" t="n">
        <f aca="false">AD22+AD23+AD24+AD25+AD26-AD27</f>
        <v>82612.0813038145</v>
      </c>
      <c r="AE28" s="52" t="n">
        <f aca="false">AE22+AE23+AE24+AE25+AE26-AE27</f>
        <v>82715.7097832755</v>
      </c>
      <c r="AF28" s="52" t="n">
        <f aca="false">AF22+AF23+AF24+AF25+AF26-AF27</f>
        <v>82809.8456932896</v>
      </c>
      <c r="AG28" s="52" t="n">
        <f aca="false">AG22+AG23+AG24+AG25+AG26-AG27</f>
        <v>82894.7280439047</v>
      </c>
      <c r="AH28" s="52" t="n">
        <f aca="false">AH22+AH23+AH24+AH25+AH26-AH27</f>
        <v>82970.5910083448</v>
      </c>
    </row>
    <row r="29" customFormat="false" ht="15" hidden="false" customHeight="true" outlineLevel="0" collapsed="false">
      <c r="A29" s="33" t="s">
        <v>15</v>
      </c>
      <c r="C29" s="46" t="n">
        <f aca="false">SUMPRODUCT(D29:AH29,Engine!D$5:AH$5)</f>
        <v>26317.5859094841</v>
      </c>
      <c r="D29" s="52" t="n">
        <f aca="false">Engine!D$4*MAX(0,D28)</f>
        <v>0</v>
      </c>
      <c r="E29" s="52" t="n">
        <f aca="false">Engine!E$4*MAX(0,E28)</f>
        <v>0</v>
      </c>
      <c r="F29" s="52" t="n">
        <f aca="false">Engine!F$4*MAX(0,F28)</f>
        <v>0</v>
      </c>
      <c r="G29" s="52" t="n">
        <f aca="false">Engine!G$4*MAX(0,G28)</f>
        <v>0</v>
      </c>
      <c r="H29" s="52" t="n">
        <f aca="false">Engine!H$4*MAX(0,H28)</f>
        <v>0</v>
      </c>
      <c r="I29" s="52" t="n">
        <f aca="false">Engine!I$4*MAX(0,I28)</f>
        <v>0</v>
      </c>
      <c r="J29" s="52" t="n">
        <f aca="false">Engine!J$4*MAX(0,J28)</f>
        <v>0</v>
      </c>
      <c r="K29" s="52" t="n">
        <f aca="false">Engine!K$4*MAX(0,K28)</f>
        <v>0</v>
      </c>
      <c r="L29" s="52" t="n">
        <f aca="false">Engine!L$4*MAX(0,L28)</f>
        <v>0</v>
      </c>
      <c r="M29" s="52" t="n">
        <f aca="false">Engine!M$4*MAX(0,M28)</f>
        <v>0</v>
      </c>
      <c r="N29" s="52" t="n">
        <f aca="false">Engine!N$4*MAX(0,N28)</f>
        <v>0</v>
      </c>
      <c r="O29" s="52" t="n">
        <f aca="false">Engine!O$4*MAX(0,O28)</f>
        <v>11988.3596896593</v>
      </c>
      <c r="P29" s="52" t="n">
        <f aca="false">Engine!P$4*MAX(0,P28)</f>
        <v>11966.2948857426</v>
      </c>
      <c r="Q29" s="52" t="n">
        <f aca="false">Engine!Q$4*MAX(0,Q28)</f>
        <v>11944.3404058455</v>
      </c>
      <c r="R29" s="52" t="n">
        <f aca="false">Engine!R$4*MAX(0,R28)</f>
        <v>11922.4956983479</v>
      </c>
      <c r="S29" s="52" t="n">
        <f aca="false">Engine!S$4*MAX(0,S28)</f>
        <v>12118.2186614267</v>
      </c>
      <c r="T29" s="52" t="n">
        <f aca="false">Engine!T$4*MAX(0,T28)</f>
        <v>13010.9580090151</v>
      </c>
      <c r="U29" s="52" t="n">
        <f aca="false">Engine!U$4*MAX(0,U28)</f>
        <v>13399.7009571619</v>
      </c>
      <c r="V29" s="52" t="n">
        <f aca="false">Engine!V$4*MAX(0,V28)</f>
        <v>13432.8100834031</v>
      </c>
      <c r="W29" s="52" t="n">
        <f aca="false">Engine!W$4*MAX(0,W28)</f>
        <v>13463.9595309145</v>
      </c>
      <c r="X29" s="52" t="n">
        <f aca="false">Engine!X$4*MAX(0,X28)</f>
        <v>13493.1966260001</v>
      </c>
      <c r="Y29" s="52" t="n">
        <f aca="false">Engine!Y$4*MAX(0,Y28)</f>
        <v>13520.5677520989</v>
      </c>
      <c r="Z29" s="52" t="n">
        <f aca="false">Engine!Z$4*MAX(0,Z28)</f>
        <v>13546.1183670274</v>
      </c>
      <c r="AA29" s="52" t="n">
        <f aca="false">Engine!AA$4*MAX(0,AA28)</f>
        <v>13569.8930199222</v>
      </c>
      <c r="AB29" s="52" t="n">
        <f aca="false">Engine!AB$4*MAX(0,AB28)</f>
        <v>13591.9353678865</v>
      </c>
      <c r="AC29" s="52" t="n">
        <f aca="false">Engine!AC$4*MAX(0,AC28)</f>
        <v>13612.288192348</v>
      </c>
      <c r="AD29" s="52" t="n">
        <f aca="false">Engine!AD$4*MAX(0,AD28)</f>
        <v>13630.9934151294</v>
      </c>
      <c r="AE29" s="52" t="n">
        <f aca="false">Engine!AE$4*MAX(0,AE28)</f>
        <v>13648.0921142405</v>
      </c>
      <c r="AF29" s="52" t="n">
        <f aca="false">Engine!AF$4*MAX(0,AF28)</f>
        <v>13663.6245393928</v>
      </c>
      <c r="AG29" s="52" t="n">
        <f aca="false">Engine!AG$4*MAX(0,AG28)</f>
        <v>13677.6301272443</v>
      </c>
      <c r="AH29" s="52" t="n">
        <f aca="false">Engine!AH$4*MAX(0,AH28)</f>
        <v>13690.1475163769</v>
      </c>
    </row>
    <row r="30" customFormat="false" ht="15" hidden="false" customHeight="true" outlineLevel="0" collapsed="false">
      <c r="A30" s="33" t="s">
        <v>1454</v>
      </c>
      <c r="C30" s="46" t="n">
        <f aca="false">SUMPRODUCT(D30:AH30,Engine!D$5:AH$5)</f>
        <v>260114.904393773</v>
      </c>
      <c r="D30" s="55" t="n">
        <f aca="false">(D28-D21-D29)*D20</f>
        <v>-191192.8</v>
      </c>
      <c r="E30" s="55" t="n">
        <f aca="false">(E28-E21-E29)*E20</f>
        <v>74031.5085231768</v>
      </c>
      <c r="F30" s="55" t="n">
        <f aca="false">(F28-F21-F29)*F20</f>
        <v>73890.9085231768</v>
      </c>
      <c r="G30" s="55" t="n">
        <f aca="false">(G28-G21-G29)*G20</f>
        <v>73751.0115231768</v>
      </c>
      <c r="H30" s="55" t="n">
        <f aca="false">(H28-H21-H29)*H20</f>
        <v>73611.8140081768</v>
      </c>
      <c r="I30" s="55" t="n">
        <f aca="false">(I28-I21-I29)*I20</f>
        <v>43473.3124807518</v>
      </c>
      <c r="J30" s="55" t="n">
        <f aca="false">(J28-J21-J29)*J20</f>
        <v>73335.5034609639</v>
      </c>
      <c r="K30" s="55" t="n">
        <f aca="false">(K28-K21-K29)*K20</f>
        <v>53198.383486275</v>
      </c>
      <c r="L30" s="55" t="n">
        <f aca="false">(L28-L21-L29)*L20</f>
        <v>73061.9491114595</v>
      </c>
      <c r="M30" s="55" t="n">
        <f aca="false">(M28-M21-M29)*M20</f>
        <v>72926.1969085181</v>
      </c>
      <c r="N30" s="55" t="n">
        <f aca="false">(N28-N21-N29)*N20</f>
        <v>42791.1234665914</v>
      </c>
      <c r="O30" s="55" t="n">
        <f aca="false">(O28-O21-O29)*O20</f>
        <v>60668.3657022151</v>
      </c>
      <c r="P30" s="55" t="n">
        <f aca="false">(P28-P21-P29)*P20</f>
        <v>32363.9044217882</v>
      </c>
      <c r="Q30" s="55" t="n">
        <f aca="false">(Q28-Q21-Q29)*Q20</f>
        <v>60445.6014477636</v>
      </c>
      <c r="R30" s="55" t="n">
        <f aca="false">(R28-R21-R29)*R20</f>
        <v>40335.053988609</v>
      </c>
      <c r="S30" s="55" t="n">
        <f aca="false">(S28-S21-S29)*S20</f>
        <v>31325.5308017655</v>
      </c>
      <c r="T30" s="55" t="n">
        <f aca="false">(T28-T21-T29)*T20</f>
        <v>65843.3329547129</v>
      </c>
      <c r="U30" s="55" t="n">
        <f aca="false">(U28-U21-U29)*U20</f>
        <v>67810.6078741221</v>
      </c>
      <c r="V30" s="55" t="n">
        <f aca="false">(V28-V21-V29)*V20</f>
        <v>67978.1601190399</v>
      </c>
      <c r="W30" s="55" t="n">
        <f aca="false">(W28-W21-W29)*W20</f>
        <v>68135.7952019008</v>
      </c>
      <c r="X30" s="55" t="n">
        <f aca="false">(X28-X21-X29)*X20</f>
        <v>68283.7526224855</v>
      </c>
      <c r="Y30" s="55" t="n">
        <f aca="false">(Y28-Y21-Y29)*Y20</f>
        <v>0</v>
      </c>
      <c r="Z30" s="55" t="n">
        <f aca="false">(Z28-Z21-Z29)*Z20</f>
        <v>0</v>
      </c>
      <c r="AA30" s="55" t="n">
        <f aca="false">(AA28-AA21-AA29)*AA20</f>
        <v>0</v>
      </c>
      <c r="AB30" s="55" t="n">
        <f aca="false">(AB28-AB21-AB29)*AB20</f>
        <v>0</v>
      </c>
      <c r="AC30" s="55" t="n">
        <f aca="false">(AC28-AC21-AC29)*AC20</f>
        <v>0</v>
      </c>
      <c r="AD30" s="55" t="n">
        <f aca="false">(AD28-AD21-AD29)*AD20</f>
        <v>0</v>
      </c>
      <c r="AE30" s="55" t="n">
        <f aca="false">(AE28-AE21-AE29)*AE20</f>
        <v>0</v>
      </c>
      <c r="AF30" s="55" t="n">
        <f aca="false">(AF28-AF21-AF29)*AF20</f>
        <v>0</v>
      </c>
      <c r="AG30" s="55" t="n">
        <f aca="false">(AG28-AG21-AG29)*AG20</f>
        <v>0</v>
      </c>
      <c r="AH30" s="55" t="n">
        <f aca="false">(AH28-AH21-AH29)*AH20</f>
        <v>0</v>
      </c>
    </row>
    <row r="31" customFormat="false" ht="15" hidden="false" customHeight="true" outlineLevel="0" collapsed="false">
      <c r="A31" s="33" t="s">
        <v>1455</v>
      </c>
      <c r="C31" s="46" t="n">
        <f aca="false">SUMPRODUCT(D31:AH31,Engine!D$5:AH$5)</f>
        <v>103654.424385281</v>
      </c>
      <c r="D31" s="52" t="n">
        <f aca="false">(Portfolio!$C$5*Engine!D16+Portfolio!$C$6*Engine!D28+Portfolio!$C$7*Engine!D40+Portfolio!$C$8*Engine!D52+Portfolio!$C$9*Engine!D64+Portfolio!$C$10*Engine!D76+Portfolio!$C$11*Engine!D88+Portfolio!$C$12*Engine!D100+Portfolio!$C$13*Engine!D112+Portfolio!$C$14*Engine!D124+Portfolio!$C$15*Engine!D136+Portfolio!$C$16*Engine!D148+Portfolio!$C$17*Engine!D160)*D20</f>
        <v>0</v>
      </c>
      <c r="E31" s="52" t="n">
        <f aca="false">(Portfolio!$C$5*Engine!E16+Portfolio!$C$6*Engine!E28+Portfolio!$C$7*Engine!E40+Portfolio!$C$8*Engine!E52+Portfolio!$C$9*Engine!E64+Portfolio!$C$10*Engine!E76+Portfolio!$C$11*Engine!E88+Portfolio!$C$12*Engine!E100+Portfolio!$C$13*Engine!E112+Portfolio!$C$14*Engine!E124+Portfolio!$C$15*Engine!E136+Portfolio!$C$16*Engine!E148+Portfolio!$C$17*Engine!E160)*E20</f>
        <v>14755.6</v>
      </c>
      <c r="F31" s="52" t="n">
        <f aca="false">(Portfolio!$C$5*Engine!F16+Portfolio!$C$6*Engine!F28+Portfolio!$C$7*Engine!F40+Portfolio!$C$8*Engine!F52+Portfolio!$C$9*Engine!F64+Portfolio!$C$10*Engine!F76+Portfolio!$C$11*Engine!F88+Portfolio!$C$12*Engine!F100+Portfolio!$C$13*Engine!F112+Portfolio!$C$14*Engine!F124+Portfolio!$C$15*Engine!F136+Portfolio!$C$16*Engine!F148+Portfolio!$C$17*Engine!F160)*F20</f>
        <v>14755.6</v>
      </c>
      <c r="G31" s="52" t="n">
        <f aca="false">(Portfolio!$C$5*Engine!G16+Portfolio!$C$6*Engine!G28+Portfolio!$C$7*Engine!G40+Portfolio!$C$8*Engine!G52+Portfolio!$C$9*Engine!G64+Portfolio!$C$10*Engine!G76+Portfolio!$C$11*Engine!G88+Portfolio!$C$12*Engine!G100+Portfolio!$C$13*Engine!G112+Portfolio!$C$14*Engine!G124+Portfolio!$C$15*Engine!G136+Portfolio!$C$16*Engine!G148+Portfolio!$C$17*Engine!G160)*G20</f>
        <v>14755.6</v>
      </c>
      <c r="H31" s="52" t="n">
        <f aca="false">(Portfolio!$C$5*Engine!H16+Portfolio!$C$6*Engine!H28+Portfolio!$C$7*Engine!H40+Portfolio!$C$8*Engine!H52+Portfolio!$C$9*Engine!H64+Portfolio!$C$10*Engine!H76+Portfolio!$C$11*Engine!H88+Portfolio!$C$12*Engine!H100+Portfolio!$C$13*Engine!H112+Portfolio!$C$14*Engine!H124+Portfolio!$C$15*Engine!H136+Portfolio!$C$16*Engine!H148+Portfolio!$C$17*Engine!H160)*H20</f>
        <v>14755.6</v>
      </c>
      <c r="I31" s="52" t="n">
        <f aca="false">(Portfolio!$C$5*Engine!I16+Portfolio!$C$6*Engine!I28+Portfolio!$C$7*Engine!I40+Portfolio!$C$8*Engine!I52+Portfolio!$C$9*Engine!I64+Portfolio!$C$10*Engine!I76+Portfolio!$C$11*Engine!I88+Portfolio!$C$12*Engine!I100+Portfolio!$C$13*Engine!I112+Portfolio!$C$14*Engine!I124+Portfolio!$C$15*Engine!I136+Portfolio!$C$16*Engine!I148+Portfolio!$C$17*Engine!I160)*I20</f>
        <v>14755.6</v>
      </c>
      <c r="J31" s="52" t="n">
        <f aca="false">(Portfolio!$C$5*Engine!J16+Portfolio!$C$6*Engine!J28+Portfolio!$C$7*Engine!J40+Portfolio!$C$8*Engine!J52+Portfolio!$C$9*Engine!J64+Portfolio!$C$10*Engine!J76+Portfolio!$C$11*Engine!J88+Portfolio!$C$12*Engine!J100+Portfolio!$C$13*Engine!J112+Portfolio!$C$14*Engine!J124+Portfolio!$C$15*Engine!J136+Portfolio!$C$16*Engine!J148+Portfolio!$C$17*Engine!J160)*J20</f>
        <v>14755.6</v>
      </c>
      <c r="K31" s="52" t="n">
        <f aca="false">(Portfolio!$C$5*Engine!K16+Portfolio!$C$6*Engine!K28+Portfolio!$C$7*Engine!K40+Portfolio!$C$8*Engine!K52+Portfolio!$C$9*Engine!K64+Portfolio!$C$10*Engine!K76+Portfolio!$C$11*Engine!K88+Portfolio!$C$12*Engine!K100+Portfolio!$C$13*Engine!K112+Portfolio!$C$14*Engine!K124+Portfolio!$C$15*Engine!K136+Portfolio!$C$16*Engine!K148+Portfolio!$C$17*Engine!K160)*K20</f>
        <v>14755.6</v>
      </c>
      <c r="L31" s="52" t="n">
        <f aca="false">(Portfolio!$C$5*Engine!L16+Portfolio!$C$6*Engine!L28+Portfolio!$C$7*Engine!L40+Portfolio!$C$8*Engine!L52+Portfolio!$C$9*Engine!L64+Portfolio!$C$10*Engine!L76+Portfolio!$C$11*Engine!L88+Portfolio!$C$12*Engine!L100+Portfolio!$C$13*Engine!L112+Portfolio!$C$14*Engine!L124+Portfolio!$C$15*Engine!L136+Portfolio!$C$16*Engine!L148+Portfolio!$C$17*Engine!L160)*L20</f>
        <v>14755.6</v>
      </c>
      <c r="M31" s="52" t="n">
        <f aca="false">(Portfolio!$C$5*Engine!M16+Portfolio!$C$6*Engine!M28+Portfolio!$C$7*Engine!M40+Portfolio!$C$8*Engine!M52+Portfolio!$C$9*Engine!M64+Portfolio!$C$10*Engine!M76+Portfolio!$C$11*Engine!M88+Portfolio!$C$12*Engine!M100+Portfolio!$C$13*Engine!M112+Portfolio!$C$14*Engine!M124+Portfolio!$C$15*Engine!M136+Portfolio!$C$16*Engine!M148+Portfolio!$C$17*Engine!M160)*M20</f>
        <v>14755.6</v>
      </c>
      <c r="N31" s="52" t="n">
        <f aca="false">(Portfolio!$C$5*Engine!N16+Portfolio!$C$6*Engine!N28+Portfolio!$C$7*Engine!N40+Portfolio!$C$8*Engine!N52+Portfolio!$C$9*Engine!N64+Portfolio!$C$10*Engine!N76+Portfolio!$C$11*Engine!N88+Portfolio!$C$12*Engine!N100+Portfolio!$C$13*Engine!N112+Portfolio!$C$14*Engine!N124+Portfolio!$C$15*Engine!N136+Portfolio!$C$16*Engine!N148+Portfolio!$C$17*Engine!N160)*N20</f>
        <v>14755.6</v>
      </c>
      <c r="O31" s="52" t="n">
        <f aca="false">(Portfolio!$C$5*Engine!O16+Portfolio!$C$6*Engine!O28+Portfolio!$C$7*Engine!O40+Portfolio!$C$8*Engine!O52+Portfolio!$C$9*Engine!O64+Portfolio!$C$10*Engine!O76+Portfolio!$C$11*Engine!O88+Portfolio!$C$12*Engine!O100+Portfolio!$C$13*Engine!O112+Portfolio!$C$14*Engine!O124+Portfolio!$C$15*Engine!O136+Portfolio!$C$16*Engine!O148+Portfolio!$C$17*Engine!O160)*O20</f>
        <v>14755.6</v>
      </c>
      <c r="P31" s="52" t="n">
        <f aca="false">(Portfolio!$C$5*Engine!P16+Portfolio!$C$6*Engine!P28+Portfolio!$C$7*Engine!P40+Portfolio!$C$8*Engine!P52+Portfolio!$C$9*Engine!P64+Portfolio!$C$10*Engine!P76+Portfolio!$C$11*Engine!P88+Portfolio!$C$12*Engine!P100+Portfolio!$C$13*Engine!P112+Portfolio!$C$14*Engine!P124+Portfolio!$C$15*Engine!P136+Portfolio!$C$16*Engine!P148+Portfolio!$C$17*Engine!P160)*P20</f>
        <v>14755.6</v>
      </c>
      <c r="Q31" s="52" t="n">
        <f aca="false">(Portfolio!$C$5*Engine!Q16+Portfolio!$C$6*Engine!Q28+Portfolio!$C$7*Engine!Q40+Portfolio!$C$8*Engine!Q52+Portfolio!$C$9*Engine!Q64+Portfolio!$C$10*Engine!Q76+Portfolio!$C$11*Engine!Q88+Portfolio!$C$12*Engine!Q100+Portfolio!$C$13*Engine!Q112+Portfolio!$C$14*Engine!Q124+Portfolio!$C$15*Engine!Q136+Portfolio!$C$16*Engine!Q148+Portfolio!$C$17*Engine!Q160)*Q20</f>
        <v>14755.6</v>
      </c>
      <c r="R31" s="52" t="n">
        <f aca="false">(Portfolio!$C$5*Engine!R16+Portfolio!$C$6*Engine!R28+Portfolio!$C$7*Engine!R40+Portfolio!$C$8*Engine!R52+Portfolio!$C$9*Engine!R64+Portfolio!$C$10*Engine!R76+Portfolio!$C$11*Engine!R88+Portfolio!$C$12*Engine!R100+Portfolio!$C$13*Engine!R112+Portfolio!$C$14*Engine!R124+Portfolio!$C$15*Engine!R136+Portfolio!$C$16*Engine!R148+Portfolio!$C$17*Engine!R160)*R20</f>
        <v>14755.6</v>
      </c>
      <c r="S31" s="52" t="n">
        <f aca="false">(Portfolio!$C$5*Engine!S16+Portfolio!$C$6*Engine!S28+Portfolio!$C$7*Engine!S40+Portfolio!$C$8*Engine!S52+Portfolio!$C$9*Engine!S64+Portfolio!$C$10*Engine!S76+Portfolio!$C$11*Engine!S88+Portfolio!$C$12*Engine!S100+Portfolio!$C$13*Engine!S112+Portfolio!$C$14*Engine!S124+Portfolio!$C$15*Engine!S136+Portfolio!$C$16*Engine!S148+Portfolio!$C$17*Engine!S160)*S20</f>
        <v>14755.6</v>
      </c>
      <c r="T31" s="52" t="n">
        <f aca="false">(Portfolio!$C$5*Engine!T16+Portfolio!$C$6*Engine!T28+Portfolio!$C$7*Engine!T40+Portfolio!$C$8*Engine!T52+Portfolio!$C$9*Engine!T64+Portfolio!$C$10*Engine!T76+Portfolio!$C$11*Engine!T88+Portfolio!$C$12*Engine!T100+Portfolio!$C$13*Engine!T112+Portfolio!$C$14*Engine!T124+Portfolio!$C$15*Engine!T136+Portfolio!$C$16*Engine!T148+Portfolio!$C$17*Engine!T160)*T20</f>
        <v>14755.6</v>
      </c>
      <c r="U31" s="52" t="n">
        <f aca="false">(Portfolio!$C$5*Engine!U16+Portfolio!$C$6*Engine!U28+Portfolio!$C$7*Engine!U40+Portfolio!$C$8*Engine!U52+Portfolio!$C$9*Engine!U64+Portfolio!$C$10*Engine!U76+Portfolio!$C$11*Engine!U88+Portfolio!$C$12*Engine!U100+Portfolio!$C$13*Engine!U112+Portfolio!$C$14*Engine!U124+Portfolio!$C$15*Engine!U136+Portfolio!$C$16*Engine!U148+Portfolio!$C$17*Engine!U160)*U20</f>
        <v>14755.6</v>
      </c>
      <c r="V31" s="52" t="n">
        <f aca="false">(Portfolio!$C$5*Engine!V16+Portfolio!$C$6*Engine!V28+Portfolio!$C$7*Engine!V40+Portfolio!$C$8*Engine!V52+Portfolio!$C$9*Engine!V64+Portfolio!$C$10*Engine!V76+Portfolio!$C$11*Engine!V88+Portfolio!$C$12*Engine!V100+Portfolio!$C$13*Engine!V112+Portfolio!$C$14*Engine!V124+Portfolio!$C$15*Engine!V136+Portfolio!$C$16*Engine!V148+Portfolio!$C$17*Engine!V160)*V20</f>
        <v>14755.6</v>
      </c>
      <c r="W31" s="52" t="n">
        <f aca="false">(Portfolio!$C$5*Engine!W16+Portfolio!$C$6*Engine!W28+Portfolio!$C$7*Engine!W40+Portfolio!$C$8*Engine!W52+Portfolio!$C$9*Engine!W64+Portfolio!$C$10*Engine!W76+Portfolio!$C$11*Engine!W88+Portfolio!$C$12*Engine!W100+Portfolio!$C$13*Engine!W112+Portfolio!$C$14*Engine!W124+Portfolio!$C$15*Engine!W136+Portfolio!$C$16*Engine!W148+Portfolio!$C$17*Engine!W160)*W20</f>
        <v>14755.6</v>
      </c>
      <c r="X31" s="52" t="n">
        <f aca="false">(Portfolio!$C$5*Engine!X16+Portfolio!$C$6*Engine!X28+Portfolio!$C$7*Engine!X40+Portfolio!$C$8*Engine!X52+Portfolio!$C$9*Engine!X64+Portfolio!$C$10*Engine!X76+Portfolio!$C$11*Engine!X88+Portfolio!$C$12*Engine!X100+Portfolio!$C$13*Engine!X112+Portfolio!$C$14*Engine!X124+Portfolio!$C$15*Engine!X136+Portfolio!$C$16*Engine!X148+Portfolio!$C$17*Engine!X160)*X20</f>
        <v>14755.6</v>
      </c>
      <c r="Y31" s="52" t="n">
        <f aca="false">(Portfolio!$C$5*Engine!Y16+Portfolio!$C$6*Engine!Y28+Portfolio!$C$7*Engine!Y40+Portfolio!$C$8*Engine!Y52+Portfolio!$C$9*Engine!Y64+Portfolio!$C$10*Engine!Y76+Portfolio!$C$11*Engine!Y88+Portfolio!$C$12*Engine!Y100+Portfolio!$C$13*Engine!Y112+Portfolio!$C$14*Engine!Y124+Portfolio!$C$15*Engine!Y136+Portfolio!$C$16*Engine!Y148+Portfolio!$C$17*Engine!Y160)*Y20</f>
        <v>0</v>
      </c>
      <c r="Z31" s="52" t="n">
        <f aca="false">(Portfolio!$C$5*Engine!Z16+Portfolio!$C$6*Engine!Z28+Portfolio!$C$7*Engine!Z40+Portfolio!$C$8*Engine!Z52+Portfolio!$C$9*Engine!Z64+Portfolio!$C$10*Engine!Z76+Portfolio!$C$11*Engine!Z88+Portfolio!$C$12*Engine!Z100+Portfolio!$C$13*Engine!Z112+Portfolio!$C$14*Engine!Z124+Portfolio!$C$15*Engine!Z136+Portfolio!$C$16*Engine!Z148+Portfolio!$C$17*Engine!Z160)*Z20</f>
        <v>0</v>
      </c>
      <c r="AA31" s="52" t="n">
        <f aca="false">(Portfolio!$C$5*Engine!AA16+Portfolio!$C$6*Engine!AA28+Portfolio!$C$7*Engine!AA40+Portfolio!$C$8*Engine!AA52+Portfolio!$C$9*Engine!AA64+Portfolio!$C$10*Engine!AA76+Portfolio!$C$11*Engine!AA88+Portfolio!$C$12*Engine!AA100+Portfolio!$C$13*Engine!AA112+Portfolio!$C$14*Engine!AA124+Portfolio!$C$15*Engine!AA136+Portfolio!$C$16*Engine!AA148+Portfolio!$C$17*Engine!AA160)*AA20</f>
        <v>0</v>
      </c>
      <c r="AB31" s="52" t="n">
        <f aca="false">(Portfolio!$C$5*Engine!AB16+Portfolio!$C$6*Engine!AB28+Portfolio!$C$7*Engine!AB40+Portfolio!$C$8*Engine!AB52+Portfolio!$C$9*Engine!AB64+Portfolio!$C$10*Engine!AB76+Portfolio!$C$11*Engine!AB88+Portfolio!$C$12*Engine!AB100+Portfolio!$C$13*Engine!AB112+Portfolio!$C$14*Engine!AB124+Portfolio!$C$15*Engine!AB136+Portfolio!$C$16*Engine!AB148+Portfolio!$C$17*Engine!AB160)*AB20</f>
        <v>0</v>
      </c>
      <c r="AC31" s="52" t="n">
        <f aca="false">(Portfolio!$C$5*Engine!AC16+Portfolio!$C$6*Engine!AC28+Portfolio!$C$7*Engine!AC40+Portfolio!$C$8*Engine!AC52+Portfolio!$C$9*Engine!AC64+Portfolio!$C$10*Engine!AC76+Portfolio!$C$11*Engine!AC88+Portfolio!$C$12*Engine!AC100+Portfolio!$C$13*Engine!AC112+Portfolio!$C$14*Engine!AC124+Portfolio!$C$15*Engine!AC136+Portfolio!$C$16*Engine!AC148+Portfolio!$C$17*Engine!AC160)*AC20</f>
        <v>0</v>
      </c>
      <c r="AD31" s="52" t="n">
        <f aca="false">(Portfolio!$C$5*Engine!AD16+Portfolio!$C$6*Engine!AD28+Portfolio!$C$7*Engine!AD40+Portfolio!$C$8*Engine!AD52+Portfolio!$C$9*Engine!AD64+Portfolio!$C$10*Engine!AD76+Portfolio!$C$11*Engine!AD88+Portfolio!$C$12*Engine!AD100+Portfolio!$C$13*Engine!AD112+Portfolio!$C$14*Engine!AD124+Portfolio!$C$15*Engine!AD136+Portfolio!$C$16*Engine!AD148+Portfolio!$C$17*Engine!AD160)*AD20</f>
        <v>0</v>
      </c>
      <c r="AE31" s="52" t="n">
        <f aca="false">(Portfolio!$C$5*Engine!AE16+Portfolio!$C$6*Engine!AE28+Portfolio!$C$7*Engine!AE40+Portfolio!$C$8*Engine!AE52+Portfolio!$C$9*Engine!AE64+Portfolio!$C$10*Engine!AE76+Portfolio!$C$11*Engine!AE88+Portfolio!$C$12*Engine!AE100+Portfolio!$C$13*Engine!AE112+Portfolio!$C$14*Engine!AE124+Portfolio!$C$15*Engine!AE136+Portfolio!$C$16*Engine!AE148+Portfolio!$C$17*Engine!AE160)*AE20</f>
        <v>0</v>
      </c>
      <c r="AF31" s="52" t="n">
        <f aca="false">(Portfolio!$C$5*Engine!AF16+Portfolio!$C$6*Engine!AF28+Portfolio!$C$7*Engine!AF40+Portfolio!$C$8*Engine!AF52+Portfolio!$C$9*Engine!AF64+Portfolio!$C$10*Engine!AF76+Portfolio!$C$11*Engine!AF88+Portfolio!$C$12*Engine!AF100+Portfolio!$C$13*Engine!AF112+Portfolio!$C$14*Engine!AF124+Portfolio!$C$15*Engine!AF136+Portfolio!$C$16*Engine!AF148+Portfolio!$C$17*Engine!AF160)*AF20</f>
        <v>0</v>
      </c>
      <c r="AG31" s="52" t="n">
        <f aca="false">(Portfolio!$C$5*Engine!AG16+Portfolio!$C$6*Engine!AG28+Portfolio!$C$7*Engine!AG40+Portfolio!$C$8*Engine!AG52+Portfolio!$C$9*Engine!AG64+Portfolio!$C$10*Engine!AG76+Portfolio!$C$11*Engine!AG88+Portfolio!$C$12*Engine!AG100+Portfolio!$C$13*Engine!AG112+Portfolio!$C$14*Engine!AG124+Portfolio!$C$15*Engine!AG136+Portfolio!$C$16*Engine!AG148+Portfolio!$C$17*Engine!AG160)*AG20</f>
        <v>0</v>
      </c>
      <c r="AH31" s="52" t="n">
        <f aca="false">(Portfolio!$C$5*Engine!AH16+Portfolio!$C$6*Engine!AH28+Portfolio!$C$7*Engine!AH40+Portfolio!$C$8*Engine!AH52+Portfolio!$C$9*Engine!AH64+Portfolio!$C$10*Engine!AH76+Portfolio!$C$11*Engine!AH88+Portfolio!$C$12*Engine!AH100+Portfolio!$C$13*Engine!AH112+Portfolio!$C$14*Engine!AH124+Portfolio!$C$15*Engine!AH136+Portfolio!$C$16*Engine!AH148+Portfolio!$C$17*Engine!AH160)*AH20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6" min="3" style="1" width="15"/>
    <col collapsed="false" customWidth="true" hidden="false" outlineLevel="0" max="7" min="7" style="1" width="17"/>
    <col collapsed="false" customWidth="true" hidden="false" outlineLevel="0" max="8" min="8" style="1" width="18"/>
    <col collapsed="false" customWidth="true" hidden="false" outlineLevel="0" max="9" min="9" style="1" width="8"/>
    <col collapsed="false" customWidth="true" hidden="false" outlineLevel="0" max="10" min="10" style="1" width="50"/>
  </cols>
  <sheetData>
    <row r="1" customFormat="false" ht="17.25" hidden="false" customHeight="true" outlineLevel="0" collapsed="false">
      <c r="A1" s="5" t="s">
        <v>1456</v>
      </c>
    </row>
    <row r="2" customFormat="false" ht="15" hidden="false" customHeight="true" outlineLevel="0" collapsed="false">
      <c r="A2" s="33" t="str">
        <f aca="false">"Scenario: "&amp;CHOOSE(in_G09,"Benign","Base","Stress")&amp;"   ·   Discount rate "&amp;TEXT(in_G01,"0.0%")&amp;" real   ·   Margin basis: "&amp;IF(in_C11=1,"bulk benchmark","value chain blend")&amp;"   ·   Carbon "&amp;IF(in_G08=1,"included","excluded")</f>
        <v>Scenario: Base   ·   Discount rate 13.0% real   ·   Margin basis: value chain blend   ·   Carbon excluded</v>
      </c>
    </row>
    <row r="4" customFormat="false" ht="39" hidden="false" customHeight="true" outlineLevel="0" collapsed="false">
      <c r="A4" s="7" t="s">
        <v>25</v>
      </c>
      <c r="B4" s="7" t="s">
        <v>1427</v>
      </c>
      <c r="C4" s="7" t="s">
        <v>1457</v>
      </c>
      <c r="D4" s="7" t="s">
        <v>1458</v>
      </c>
      <c r="E4" s="7" t="s">
        <v>1459</v>
      </c>
      <c r="F4" s="7" t="s">
        <v>1460</v>
      </c>
      <c r="G4" s="7" t="s">
        <v>1461</v>
      </c>
      <c r="H4" s="7" t="s">
        <v>1462</v>
      </c>
      <c r="I4" s="7" t="s">
        <v>1463</v>
      </c>
      <c r="J4" s="7" t="s">
        <v>1464</v>
      </c>
    </row>
    <row r="5" customFormat="false" ht="15" hidden="false" customHeight="true" outlineLevel="0" collapsed="false">
      <c r="A5" s="33" t="s">
        <v>1429</v>
      </c>
      <c r="B5" s="33" t="s">
        <v>1402</v>
      </c>
      <c r="C5" s="64" t="n">
        <f aca="false">Engine!C15</f>
        <v>-135111.791018998</v>
      </c>
      <c r="D5" s="64" t="n">
        <f aca="false">Engine!C9</f>
        <v>125961.401252027</v>
      </c>
      <c r="E5" s="64" t="n">
        <f aca="false">Engine!C16</f>
        <v>70247.5157806401</v>
      </c>
      <c r="F5" s="46" t="n">
        <f aca="false">C5+E5</f>
        <v>-64864.2752383576</v>
      </c>
      <c r="G5" s="64" t="n">
        <f aca="false">Engine!C17</f>
        <v>6416.45973001867</v>
      </c>
      <c r="H5" s="65" t="n">
        <f aca="false">IF(G5&gt;0,IF(C5&gt;=0,"already positive",(G5-C5)/G5),"n/a")</f>
        <v>22.0570621034046</v>
      </c>
      <c r="I5" s="33" t="n">
        <f aca="false">RANK(C5,$C$5:$C$17)</f>
        <v>13</v>
      </c>
      <c r="J5" s="33" t="str">
        <f aca="false">IF(C5&gt;=0,"Adds value on factory cash alone",IF(F5&gt;=0,"Positive only with supplier income","Does not pay at these inputs"))</f>
        <v>Does not pay at these inputs</v>
      </c>
    </row>
    <row r="6" customFormat="false" ht="15" hidden="false" customHeight="true" outlineLevel="0" collapsed="false">
      <c r="A6" s="33" t="s">
        <v>1431</v>
      </c>
      <c r="B6" s="33" t="s">
        <v>371</v>
      </c>
      <c r="C6" s="64" t="n">
        <f aca="false">Engine!C27</f>
        <v>-31252.9247873509</v>
      </c>
      <c r="D6" s="64" t="n">
        <f aca="false">Engine!C21</f>
        <v>32114.7438921605</v>
      </c>
      <c r="E6" s="64" t="n">
        <f aca="false">Engine!C28</f>
        <v>60381.954664407</v>
      </c>
      <c r="F6" s="46" t="n">
        <f aca="false">C6+E6</f>
        <v>29129.0298770561</v>
      </c>
      <c r="G6" s="64" t="n">
        <f aca="false">Engine!C29</f>
        <v>895.010882094759</v>
      </c>
      <c r="H6" s="65" t="n">
        <f aca="false">IF(G6&gt;0,IF(C6&gt;=0,"already positive",(G6-C6)/G6),"n/a")</f>
        <v>35.9190444636874</v>
      </c>
      <c r="I6" s="33" t="n">
        <f aca="false">RANK(C6,$C$5:$C$17)</f>
        <v>7</v>
      </c>
      <c r="J6" s="33" t="str">
        <f aca="false">IF(C6&gt;=0,"Adds value on factory cash alone",IF(F6&gt;=0,"Positive only with supplier income","Does not pay at these inputs"))</f>
        <v>Positive only with supplier income</v>
      </c>
    </row>
    <row r="7" customFormat="false" ht="15" hidden="false" customHeight="true" outlineLevel="0" collapsed="false">
      <c r="A7" s="33" t="s">
        <v>1433</v>
      </c>
      <c r="B7" s="33" t="s">
        <v>1414</v>
      </c>
      <c r="C7" s="64" t="n">
        <f aca="false">Engine!C39</f>
        <v>-45446.6931048886</v>
      </c>
      <c r="D7" s="64" t="n">
        <f aca="false">Engine!C33</f>
        <v>49410.085231309</v>
      </c>
      <c r="E7" s="64" t="n">
        <f aca="false">Engine!C40</f>
        <v>0</v>
      </c>
      <c r="F7" s="46" t="n">
        <f aca="false">C7+E7</f>
        <v>-45446.6931048886</v>
      </c>
      <c r="G7" s="64" t="n">
        <f aca="false">Engine!C41</f>
        <v>4746.57739691061</v>
      </c>
      <c r="H7" s="65" t="n">
        <f aca="false">IF(G7&gt;0,IF(C7&gt;=0,"already positive",(G7-C7)/G7),"n/a")</f>
        <v>10.5746238404262</v>
      </c>
      <c r="I7" s="33" t="n">
        <f aca="false">RANK(C7,$C$5:$C$17)</f>
        <v>9</v>
      </c>
      <c r="J7" s="33" t="str">
        <f aca="false">IF(C7&gt;=0,"Adds value on factory cash alone",IF(F7&gt;=0,"Positive only with supplier income","Does not pay at these inputs"))</f>
        <v>Does not pay at these inputs</v>
      </c>
    </row>
    <row r="8" customFormat="false" ht="15" hidden="false" customHeight="true" outlineLevel="0" collapsed="false">
      <c r="A8" s="33" t="s">
        <v>1435</v>
      </c>
      <c r="B8" s="33" t="s">
        <v>1415</v>
      </c>
      <c r="C8" s="64" t="n">
        <f aca="false">Engine!C51</f>
        <v>-126156.422724122</v>
      </c>
      <c r="D8" s="64" t="n">
        <f aca="false">Engine!C45</f>
        <v>25000</v>
      </c>
      <c r="E8" s="64" t="n">
        <f aca="false">Engine!C52</f>
        <v>0</v>
      </c>
      <c r="F8" s="46" t="n">
        <f aca="false">C8+E8</f>
        <v>-126156.422724122</v>
      </c>
      <c r="G8" s="64" t="n">
        <f aca="false">Engine!C53</f>
        <v>0</v>
      </c>
      <c r="H8" s="65" t="str">
        <f aca="false">IF(G8&gt;0,IF(C8&gt;=0,"already positive",(G8-C8)/G8),"n/a")</f>
        <v>n/a</v>
      </c>
      <c r="I8" s="33" t="n">
        <f aca="false">RANK(C8,$C$5:$C$17)</f>
        <v>12</v>
      </c>
      <c r="J8" s="33" t="str">
        <f aca="false">IF(C8&gt;=0,"Adds value on factory cash alone",IF(F8&gt;=0,"Positive only with supplier income","Does not pay at these inputs"))</f>
        <v>Does not pay at these inputs</v>
      </c>
    </row>
    <row r="9" customFormat="false" ht="15" hidden="false" customHeight="true" outlineLevel="0" collapsed="false">
      <c r="A9" s="33" t="s">
        <v>1436</v>
      </c>
      <c r="B9" s="33" t="s">
        <v>1416</v>
      </c>
      <c r="C9" s="64" t="n">
        <f aca="false">Engine!C63</f>
        <v>-43059.930983045</v>
      </c>
      <c r="D9" s="64" t="n">
        <f aca="false">Engine!C57</f>
        <v>59917.1711130208</v>
      </c>
      <c r="E9" s="64" t="n">
        <f aca="false">Engine!C64</f>
        <v>43272.4697208743</v>
      </c>
      <c r="F9" s="46" t="n">
        <f aca="false">C9+E9</f>
        <v>212.538737829338</v>
      </c>
      <c r="G9" s="64" t="n">
        <f aca="false">Engine!C65</f>
        <v>18222.4209825336</v>
      </c>
      <c r="H9" s="65" t="n">
        <f aca="false">IF(G9&gt;0,IF(C9&gt;=0,"already positive",(G9-C9)/G9),"n/a")</f>
        <v>3.3630192181554</v>
      </c>
      <c r="I9" s="33" t="n">
        <f aca="false">RANK(C9,$C$5:$C$17)</f>
        <v>8</v>
      </c>
      <c r="J9" s="33" t="str">
        <f aca="false">IF(C9&gt;=0,"Adds value on factory cash alone",IF(F9&gt;=0,"Positive only with supplier income","Does not pay at these inputs"))</f>
        <v>Positive only with supplier income</v>
      </c>
    </row>
    <row r="10" customFormat="false" ht="15" hidden="false" customHeight="true" outlineLevel="0" collapsed="false">
      <c r="A10" s="33" t="s">
        <v>1437</v>
      </c>
      <c r="B10" s="33" t="s">
        <v>1417</v>
      </c>
      <c r="C10" s="64" t="n">
        <f aca="false">Engine!C75</f>
        <v>-66504.1169232252</v>
      </c>
      <c r="D10" s="64" t="n">
        <f aca="false">Engine!C69</f>
        <v>117325</v>
      </c>
      <c r="E10" s="64" t="n">
        <f aca="false">Engine!C76</f>
        <v>0</v>
      </c>
      <c r="F10" s="46" t="n">
        <f aca="false">C10+E10</f>
        <v>-66504.1169232252</v>
      </c>
      <c r="G10" s="64" t="n">
        <f aca="false">Engine!C77</f>
        <v>0</v>
      </c>
      <c r="H10" s="65" t="str">
        <f aca="false">IF(G10&gt;0,IF(C10&gt;=0,"already positive",(G10-C10)/G10),"n/a")</f>
        <v>n/a</v>
      </c>
      <c r="I10" s="33" t="n">
        <f aca="false">RANK(C10,$C$5:$C$17)</f>
        <v>10</v>
      </c>
      <c r="J10" s="33" t="str">
        <f aca="false">IF(C10&gt;=0,"Adds value on factory cash alone",IF(F10&gt;=0,"Positive only with supplier income","Does not pay at these inputs"))</f>
        <v>Does not pay at these inputs</v>
      </c>
    </row>
    <row r="11" customFormat="false" ht="15" hidden="false" customHeight="true" outlineLevel="0" collapsed="false">
      <c r="A11" s="33" t="s">
        <v>1438</v>
      </c>
      <c r="B11" s="33" t="s">
        <v>1418</v>
      </c>
      <c r="C11" s="64" t="n">
        <f aca="false">Engine!C87</f>
        <v>72102.621472672</v>
      </c>
      <c r="D11" s="64" t="n">
        <f aca="false">Engine!C81</f>
        <v>102768.470653546</v>
      </c>
      <c r="E11" s="64" t="n">
        <f aca="false">Engine!C88</f>
        <v>0</v>
      </c>
      <c r="F11" s="46" t="n">
        <f aca="false">C11+E11</f>
        <v>72102.621472672</v>
      </c>
      <c r="G11" s="64" t="n">
        <f aca="false">Engine!C89</f>
        <v>0</v>
      </c>
      <c r="H11" s="65" t="str">
        <f aca="false">IF(G11&gt;0,IF(C11&gt;=0,"already positive",(G11-C11)/G11),"n/a")</f>
        <v>n/a</v>
      </c>
      <c r="I11" s="33" t="n">
        <f aca="false">RANK(C11,$C$5:$C$17)</f>
        <v>3</v>
      </c>
      <c r="J11" s="33" t="str">
        <f aca="false">IF(C11&gt;=0,"Adds value on factory cash alone",IF(F11&gt;=0,"Positive only with supplier income","Does not pay at these inputs"))</f>
        <v>Adds value on factory cash alone</v>
      </c>
    </row>
    <row r="12" customFormat="false" ht="15" hidden="false" customHeight="true" outlineLevel="0" collapsed="false">
      <c r="A12" s="33" t="s">
        <v>1439</v>
      </c>
      <c r="B12" s="33" t="s">
        <v>1419</v>
      </c>
      <c r="C12" s="64" t="n">
        <f aca="false">Engine!C99</f>
        <v>22445.3928658592</v>
      </c>
      <c r="D12" s="64" t="n">
        <f aca="false">Engine!C93</f>
        <v>95804.9068971846</v>
      </c>
      <c r="E12" s="64" t="n">
        <f aca="false">Engine!C100</f>
        <v>0</v>
      </c>
      <c r="F12" s="46" t="n">
        <f aca="false">C12+E12</f>
        <v>22445.3928658592</v>
      </c>
      <c r="G12" s="64" t="n">
        <f aca="false">Engine!C101</f>
        <v>0</v>
      </c>
      <c r="H12" s="65" t="str">
        <f aca="false">IF(G12&gt;0,IF(C12&gt;=0,"already positive",(G12-C12)/G12),"n/a")</f>
        <v>n/a</v>
      </c>
      <c r="I12" s="33" t="n">
        <f aca="false">RANK(C12,$C$5:$C$17)</f>
        <v>5</v>
      </c>
      <c r="J12" s="33" t="str">
        <f aca="false">IF(C12&gt;=0,"Adds value on factory cash alone",IF(F12&gt;=0,"Positive only with supplier income","Does not pay at these inputs"))</f>
        <v>Adds value on factory cash alone</v>
      </c>
    </row>
    <row r="13" customFormat="false" ht="15" hidden="false" customHeight="true" outlineLevel="0" collapsed="false">
      <c r="A13" s="33" t="s">
        <v>1440</v>
      </c>
      <c r="B13" s="33" t="s">
        <v>1420</v>
      </c>
      <c r="C13" s="64" t="n">
        <f aca="false">Engine!C111</f>
        <v>37002.5177476084</v>
      </c>
      <c r="D13" s="64" t="n">
        <f aca="false">Engine!C105</f>
        <v>0</v>
      </c>
      <c r="E13" s="64" t="n">
        <f aca="false">Engine!C112</f>
        <v>0</v>
      </c>
      <c r="F13" s="46" t="n">
        <f aca="false">C13+E13</f>
        <v>37002.5177476084</v>
      </c>
      <c r="G13" s="64" t="n">
        <f aca="false">Engine!C113</f>
        <v>0</v>
      </c>
      <c r="H13" s="65" t="str">
        <f aca="false">IF(G13&gt;0,IF(C13&gt;=0,"already positive",(G13-C13)/G13),"n/a")</f>
        <v>n/a</v>
      </c>
      <c r="I13" s="33" t="n">
        <f aca="false">RANK(C13,$C$5:$C$17)</f>
        <v>4</v>
      </c>
      <c r="J13" s="33" t="str">
        <f aca="false">IF(C13&gt;=0,"Adds value on factory cash alone",IF(F13&gt;=0,"Positive only with supplier income","Does not pay at these inputs"))</f>
        <v>Adds value on factory cash alone</v>
      </c>
    </row>
    <row r="14" customFormat="false" ht="15" hidden="false" customHeight="true" outlineLevel="0" collapsed="false">
      <c r="A14" s="33" t="s">
        <v>1441</v>
      </c>
      <c r="B14" s="33" t="s">
        <v>1421</v>
      </c>
      <c r="C14" s="64" t="n">
        <f aca="false">Engine!C123</f>
        <v>139263.339968661</v>
      </c>
      <c r="D14" s="64" t="n">
        <f aca="false">Engine!C117</f>
        <v>19928.5742998956</v>
      </c>
      <c r="E14" s="64" t="n">
        <f aca="false">Engine!C124</f>
        <v>0</v>
      </c>
      <c r="F14" s="46" t="n">
        <f aca="false">C14+E14</f>
        <v>139263.339968661</v>
      </c>
      <c r="G14" s="64" t="n">
        <f aca="false">Engine!C125</f>
        <v>0</v>
      </c>
      <c r="H14" s="65" t="str">
        <f aca="false">IF(G14&gt;0,IF(C14&gt;=0,"already positive",(G14-C14)/G14),"n/a")</f>
        <v>n/a</v>
      </c>
      <c r="I14" s="33" t="n">
        <f aca="false">RANK(C14,$C$5:$C$17)</f>
        <v>1</v>
      </c>
      <c r="J14" s="33" t="str">
        <f aca="false">IF(C14&gt;=0,"Adds value on factory cash alone",IF(F14&gt;=0,"Positive only with supplier income","Does not pay at these inputs"))</f>
        <v>Adds value on factory cash alone</v>
      </c>
    </row>
    <row r="15" customFormat="false" ht="15" hidden="false" customHeight="true" outlineLevel="0" collapsed="false">
      <c r="A15" s="33" t="s">
        <v>1442</v>
      </c>
      <c r="B15" s="33" t="s">
        <v>1422</v>
      </c>
      <c r="C15" s="64" t="n">
        <f aca="false">Engine!C135</f>
        <v>123164.624969403</v>
      </c>
      <c r="D15" s="64" t="n">
        <f aca="false">Engine!C129</f>
        <v>25000</v>
      </c>
      <c r="E15" s="64" t="n">
        <f aca="false">Engine!C136</f>
        <v>0</v>
      </c>
      <c r="F15" s="46" t="n">
        <f aca="false">C15+E15</f>
        <v>123164.624969403</v>
      </c>
      <c r="G15" s="64" t="n">
        <f aca="false">Engine!C137</f>
        <v>29943.4787400872</v>
      </c>
      <c r="H15" s="65" t="str">
        <f aca="false">IF(G15&gt;0,IF(C15&gt;=0,"already positive",(G15-C15)/G15),"n/a")</f>
        <v>already positive</v>
      </c>
      <c r="I15" s="33" t="n">
        <f aca="false">RANK(C15,$C$5:$C$17)</f>
        <v>2</v>
      </c>
      <c r="J15" s="33" t="str">
        <f aca="false">IF(C15&gt;=0,"Adds value on factory cash alone",IF(F15&gt;=0,"Positive only with supplier income","Does not pay at these inputs"))</f>
        <v>Adds value on factory cash alone</v>
      </c>
    </row>
    <row r="16" customFormat="false" ht="15" hidden="false" customHeight="true" outlineLevel="0" collapsed="false">
      <c r="A16" s="33" t="s">
        <v>1443</v>
      </c>
      <c r="B16" s="33" t="s">
        <v>1423</v>
      </c>
      <c r="C16" s="64" t="n">
        <f aca="false">Engine!C147</f>
        <v>-98388.9934416813</v>
      </c>
      <c r="D16" s="64" t="n">
        <f aca="false">Engine!C141</f>
        <v>15000</v>
      </c>
      <c r="E16" s="64" t="n">
        <f aca="false">Engine!C148</f>
        <v>0</v>
      </c>
      <c r="F16" s="46" t="n">
        <f aca="false">C16+E16</f>
        <v>-98388.9934416813</v>
      </c>
      <c r="G16" s="64" t="n">
        <f aca="false">Engine!C149</f>
        <v>11540.081937562</v>
      </c>
      <c r="H16" s="65" t="n">
        <f aca="false">IF(G16&gt;0,IF(C16&gt;=0,"already positive",(G16-C16)/G16),"n/a")</f>
        <v>9.52584877421303</v>
      </c>
      <c r="I16" s="33" t="n">
        <f aca="false">RANK(C16,$C$5:$C$17)</f>
        <v>11</v>
      </c>
      <c r="J16" s="33" t="str">
        <f aca="false">IF(C16&gt;=0,"Adds value on factory cash alone",IF(F16&gt;=0,"Positive only with supplier income","Does not pay at these inputs"))</f>
        <v>Does not pay at these inputs</v>
      </c>
    </row>
    <row r="17" customFormat="false" ht="15" hidden="false" customHeight="true" outlineLevel="0" collapsed="false">
      <c r="A17" s="33" t="s">
        <v>1444</v>
      </c>
      <c r="B17" s="33" t="s">
        <v>1424</v>
      </c>
      <c r="C17" s="64" t="n">
        <f aca="false">Engine!C159</f>
        <v>1427.05095604958</v>
      </c>
      <c r="D17" s="64" t="n">
        <f aca="false">Engine!C153</f>
        <v>0</v>
      </c>
      <c r="E17" s="64" t="n">
        <f aca="false">Engine!C160</f>
        <v>0</v>
      </c>
      <c r="F17" s="46" t="n">
        <f aca="false">C17+E17</f>
        <v>1427.05095604958</v>
      </c>
      <c r="G17" s="64" t="n">
        <f aca="false">Engine!C161</f>
        <v>0</v>
      </c>
      <c r="H17" s="65" t="str">
        <f aca="false">IF(G17&gt;0,IF(C17&gt;=0,"already positive",(G17-C17)/G17),"n/a")</f>
        <v>n/a</v>
      </c>
      <c r="I17" s="33" t="n">
        <f aca="false">RANK(C17,$C$5:$C$17)</f>
        <v>6</v>
      </c>
      <c r="J17" s="33" t="str">
        <f aca="false">IF(C17&gt;=0,"Adds value on factory cash alone",IF(F17&gt;=0,"Positive only with supplier income","Does not pay at these inputs"))</f>
        <v>Adds value on factory cash alone</v>
      </c>
    </row>
    <row r="19" customFormat="false" ht="15" hidden="false" customHeight="true" outlineLevel="0" collapsed="false">
      <c r="B19" s="3" t="s">
        <v>1465</v>
      </c>
      <c r="C19" s="55" t="n">
        <f aca="false">p_npv</f>
        <v>260114.904393773</v>
      </c>
      <c r="F19" s="55" t="n">
        <f aca="false">p_npv_cons</f>
        <v>363769.328779055</v>
      </c>
    </row>
    <row r="20" customFormat="false" ht="51.75" hidden="false" customHeight="true" outlineLevel="0" collapsed="false">
      <c r="B20" s="66" t="s">
        <v>1466</v>
      </c>
    </row>
    <row r="22" customFormat="false" ht="17.25" hidden="false" customHeight="true" outlineLevel="0" collapsed="false">
      <c r="B22" s="5" t="s">
        <v>1467</v>
      </c>
    </row>
    <row r="23" customFormat="false" ht="15" hidden="false" customHeight="true" outlineLevel="0" collapsed="false">
      <c r="B23" s="33" t="s">
        <v>1468</v>
      </c>
      <c r="C23" s="64" t="n">
        <f aca="false">c_margin</f>
        <v>5215.45421862807</v>
      </c>
    </row>
    <row r="24" customFormat="false" ht="15" hidden="false" customHeight="true" outlineLevel="0" collapsed="false">
      <c r="B24" s="33" t="s">
        <v>1469</v>
      </c>
      <c r="C24" s="64" t="n">
        <f aca="false">c_VST</f>
        <v>2037.13626558842</v>
      </c>
    </row>
    <row r="25" customFormat="false" ht="15" hidden="false" customHeight="true" outlineLevel="0" collapsed="false">
      <c r="B25" s="33" t="s">
        <v>1470</v>
      </c>
      <c r="C25" s="64" t="n">
        <f aca="false">Supply!E7</f>
        <v>36668.4527805916</v>
      </c>
    </row>
    <row r="26" customFormat="false" ht="15" hidden="false" customHeight="true" outlineLevel="0" collapsed="false">
      <c r="B26" s="33" t="s">
        <v>1471</v>
      </c>
      <c r="C26" s="37" t="n">
        <f aca="false">c_catch</f>
        <v>6756.75675675676</v>
      </c>
    </row>
    <row r="27" customFormat="false" ht="15" hidden="false" customHeight="true" outlineLevel="0" collapsed="false">
      <c r="B27" s="33" t="s">
        <v>1301</v>
      </c>
      <c r="C27" s="64" t="n">
        <f aca="false">c_out_cost</f>
        <v>33910.1623438777</v>
      </c>
    </row>
    <row r="28" customFormat="false" ht="15" hidden="false" customHeight="true" outlineLevel="0" collapsed="false">
      <c r="B28" s="33" t="s">
        <v>1309</v>
      </c>
      <c r="C28" s="36" t="n">
        <f aca="false">c_out_pct</f>
        <v>0.00609268541270646</v>
      </c>
    </row>
    <row r="29" customFormat="false" ht="15" hidden="false" customHeight="true" outlineLevel="0" collapsed="false">
      <c r="B29" s="33" t="s">
        <v>1472</v>
      </c>
      <c r="C29" s="64" t="n">
        <f aca="false">c_floss0</f>
        <v>123290.908437256</v>
      </c>
    </row>
    <row r="30" customFormat="false" ht="15" hidden="false" customHeight="true" outlineLevel="0" collapsed="false">
      <c r="B30" s="33" t="s">
        <v>1473</v>
      </c>
      <c r="C30" s="64" t="n">
        <f aca="false">in_H05*c_floss0</f>
        <v>12329.0908437256</v>
      </c>
    </row>
    <row r="31" customFormat="false" ht="15" hidden="false" customHeight="true" outlineLevel="0" collapsed="false">
      <c r="B31" s="33" t="s">
        <v>1474</v>
      </c>
      <c r="C31" s="36" t="n">
        <f aca="false">'Value chain'!D49</f>
        <v>0.309932866864592</v>
      </c>
    </row>
    <row r="32" customFormat="false" ht="15" hidden="false" customHeight="true" outlineLevel="0" collapsed="false">
      <c r="B32" s="33" t="s">
        <v>1262</v>
      </c>
      <c r="C32" s="36" t="n">
        <f aca="false">'Value chain'!B61</f>
        <v>0.399673433505909</v>
      </c>
    </row>
    <row r="33" customFormat="false" ht="15" hidden="false" customHeight="true" outlineLevel="0" collapsed="false">
      <c r="B33" s="33" t="s">
        <v>1475</v>
      </c>
      <c r="C33" s="37" t="n">
        <f aca="false">c_units</f>
        <v>354940.213971051</v>
      </c>
    </row>
    <row r="34" customFormat="false" ht="15" hidden="false" customHeight="true" outlineLevel="0" collapsed="false">
      <c r="B34" s="33" t="s">
        <v>1476</v>
      </c>
      <c r="C34" s="64" t="n">
        <f aca="false">c_sales</f>
        <v>5565716.92888609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16"/>
    <col collapsed="false" customWidth="true" hidden="false" outlineLevel="0" max="3" min="3" style="1" width="10"/>
    <col collapsed="false" customWidth="true" hidden="false" outlineLevel="0" max="4" min="4" style="1" width="70"/>
  </cols>
  <sheetData>
    <row r="1" customFormat="false" ht="17.25" hidden="false" customHeight="true" outlineLevel="0" collapsed="false">
      <c r="A1" s="5" t="s">
        <v>1477</v>
      </c>
    </row>
    <row r="3" customFormat="false" ht="15" hidden="false" customHeight="true" outlineLevel="0" collapsed="false">
      <c r="A3" s="7" t="s">
        <v>1478</v>
      </c>
      <c r="B3" s="7" t="s">
        <v>1272</v>
      </c>
      <c r="C3" s="7" t="s">
        <v>1479</v>
      </c>
      <c r="D3" s="7" t="s">
        <v>1480</v>
      </c>
    </row>
    <row r="4" customFormat="false" ht="15" hidden="false" customHeight="true" outlineLevel="0" collapsed="false">
      <c r="A4" s="33" t="s">
        <v>1481</v>
      </c>
      <c r="B4" s="42" t="n">
        <f aca="false">c_out_pct</f>
        <v>0.00609268541270646</v>
      </c>
      <c r="C4" s="3" t="str">
        <f aca="false">IF(AND(B4&gt;=0,B4&lt;=0.1),"OK","CHECK")</f>
        <v>OK</v>
      </c>
      <c r="D4" s="33" t="s">
        <v>1482</v>
      </c>
    </row>
    <row r="5" customFormat="false" ht="15" hidden="false" customHeight="true" outlineLevel="0" collapsed="false">
      <c r="A5" s="33" t="s">
        <v>1483</v>
      </c>
      <c r="B5" s="46" t="n">
        <f aca="false">c_rec0-c_floss0</f>
        <v>-44887.4725311769</v>
      </c>
      <c r="C5" s="3" t="str">
        <f aca="false">IF(B5&lt;=0,"OK","CHECK")</f>
        <v>OK</v>
      </c>
      <c r="D5" s="33" t="s">
        <v>1484</v>
      </c>
    </row>
    <row r="6" customFormat="false" ht="15" hidden="false" customHeight="true" outlineLevel="0" collapsed="false">
      <c r="A6" s="33" t="s">
        <v>1485</v>
      </c>
      <c r="B6" s="48" t="n">
        <f aca="false">SUMPRODUCT((Inputs!I5:I400&lt;0)*(LEFT(Inputs!D5:D400,1)="%"))+SUMPRODUCT((Inputs!I5:I400&gt;1)*(LEFT(Inputs!D5:D400,1)="%"))</f>
        <v>0</v>
      </c>
      <c r="C6" s="3" t="str">
        <f aca="false">IF(B6=0,"OK","CHECK")</f>
        <v>OK</v>
      </c>
      <c r="D6" s="33" t="s">
        <v>1486</v>
      </c>
    </row>
    <row r="7" customFormat="false" ht="15" hidden="false" customHeight="true" outlineLevel="0" collapsed="false">
      <c r="A7" s="33" t="s">
        <v>1487</v>
      </c>
      <c r="B7" s="54" t="n">
        <f aca="false">MIN(Supply!B31,Supply!B45,Supply!B52)</f>
        <v>0.0135</v>
      </c>
      <c r="C7" s="3" t="str">
        <f aca="false">IF(B7&gt;=0,"OK","CHECK")</f>
        <v>OK</v>
      </c>
      <c r="D7" s="33" t="s">
        <v>1488</v>
      </c>
    </row>
    <row r="8" customFormat="false" ht="15" hidden="false" customHeight="true" outlineLevel="0" collapsed="false">
      <c r="A8" s="33" t="s">
        <v>1489</v>
      </c>
      <c r="B8" s="40" t="n">
        <f aca="false">'Value chain'!$B$28</f>
        <v>2.63309167851481</v>
      </c>
      <c r="C8" s="3" t="str">
        <f aca="false">IF(B8&gt;0,"OK","CHECK")</f>
        <v>OK</v>
      </c>
      <c r="D8" s="33" t="s">
        <v>1490</v>
      </c>
    </row>
    <row r="9" customFormat="false" ht="15" hidden="false" customHeight="true" outlineLevel="0" collapsed="false">
      <c r="A9" s="33" t="s">
        <v>1491</v>
      </c>
      <c r="B9" s="40" t="n">
        <f aca="false">'Value chain'!B29-in_V01</f>
        <v>0</v>
      </c>
      <c r="C9" s="3" t="str">
        <f aca="false">IF(ABS(B9)&lt;0.005,"OK","CHECK")</f>
        <v>OK</v>
      </c>
      <c r="D9" s="33" t="s">
        <v>1492</v>
      </c>
    </row>
    <row r="10" customFormat="false" ht="15" hidden="false" customHeight="true" outlineLevel="0" collapsed="false">
      <c r="A10" s="33" t="s">
        <v>1493</v>
      </c>
      <c r="B10" s="48" t="n">
        <f aca="false">in_E09*in_E02-in_C08*1000</f>
        <v>-102000</v>
      </c>
      <c r="C10" s="3" t="str">
        <f aca="false">IF(B10&lt;=0,"OK","CHECK")</f>
        <v>OK</v>
      </c>
      <c r="D10" s="33" t="s">
        <v>1494</v>
      </c>
    </row>
    <row r="11" customFormat="false" ht="15" hidden="false" customHeight="true" outlineLevel="0" collapsed="false">
      <c r="A11" s="33" t="s">
        <v>1495</v>
      </c>
      <c r="B11" s="46" t="n">
        <f aca="false">Portfolio!C25</f>
        <v>0</v>
      </c>
      <c r="C11" s="3" t="str">
        <f aca="false">IF(OR(Portfolio!C12*Portfolio!C14=0,B11&lt;0),"OK","CHECK")</f>
        <v>OK</v>
      </c>
      <c r="D11" s="33" t="s">
        <v>1496</v>
      </c>
    </row>
    <row r="12" customFormat="false" ht="15" hidden="false" customHeight="true" outlineLevel="0" collapsed="false">
      <c r="A12" s="33" t="s">
        <v>1497</v>
      </c>
      <c r="B12" s="48" t="n">
        <f aca="false">SUM(Portfolio!C5:C17)</f>
        <v>6</v>
      </c>
      <c r="C12" s="3" t="str">
        <f aca="false">IF(B12&gt;0,"n/a (options selected)","OK")</f>
        <v>n/a (options selected)</v>
      </c>
      <c r="D12" s="33" t="s">
        <v>1498</v>
      </c>
    </row>
    <row r="13" customFormat="false" ht="15" hidden="false" customHeight="true" outlineLevel="0" collapsed="false">
      <c r="A13" s="33" t="s">
        <v>1499</v>
      </c>
      <c r="B13" s="48" t="n">
        <f aca="false">in_G08</f>
        <v>0</v>
      </c>
      <c r="C13" s="3" t="str">
        <f aca="false">IF(B13=0,"OK","NOTE: carbon on")</f>
        <v>OK</v>
      </c>
      <c r="D13" s="33" t="s">
        <v>1500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70"/>
    <col collapsed="false" customWidth="true" hidden="false" outlineLevel="0" max="3" min="3" style="1" width="26"/>
    <col collapsed="false" customWidth="true" hidden="false" outlineLevel="0" max="4" min="4" style="1" width="14"/>
  </cols>
  <sheetData>
    <row r="1" customFormat="false" ht="17.25" hidden="false" customHeight="true" outlineLevel="0" collapsed="false">
      <c r="A1" s="5" t="s">
        <v>1501</v>
      </c>
    </row>
    <row r="3" customFormat="false" ht="15" hidden="false" customHeight="true" outlineLevel="0" collapsed="false">
      <c r="A3" s="7" t="s">
        <v>1427</v>
      </c>
      <c r="B3" s="7" t="s">
        <v>1502</v>
      </c>
      <c r="C3" s="7" t="s">
        <v>1503</v>
      </c>
      <c r="D3" s="7" t="s">
        <v>1479</v>
      </c>
    </row>
    <row r="4" customFormat="false" ht="15" hidden="false" customHeight="true" outlineLevel="0" collapsed="false">
      <c r="A4" s="33" t="s">
        <v>642</v>
      </c>
      <c r="B4" s="33" t="s">
        <v>1504</v>
      </c>
      <c r="C4" s="33" t="s">
        <v>1505</v>
      </c>
      <c r="D4" s="31" t="s">
        <v>1506</v>
      </c>
    </row>
    <row r="5" customFormat="false" ht="15" hidden="false" customHeight="true" outlineLevel="0" collapsed="false">
      <c r="A5" s="33" t="s">
        <v>1507</v>
      </c>
      <c r="B5" s="33" t="s">
        <v>1508</v>
      </c>
      <c r="C5" s="33" t="s">
        <v>1509</v>
      </c>
      <c r="D5" s="31" t="s">
        <v>1506</v>
      </c>
    </row>
    <row r="6" customFormat="false" ht="15" hidden="false" customHeight="true" outlineLevel="0" collapsed="false">
      <c r="A6" s="33" t="s">
        <v>857</v>
      </c>
      <c r="B6" s="33" t="s">
        <v>1510</v>
      </c>
      <c r="C6" s="33" t="s">
        <v>1511</v>
      </c>
      <c r="D6" s="31" t="s">
        <v>1506</v>
      </c>
    </row>
    <row r="7" customFormat="false" ht="15" hidden="false" customHeight="true" outlineLevel="0" collapsed="false">
      <c r="A7" s="33" t="s">
        <v>587</v>
      </c>
      <c r="B7" s="33" t="s">
        <v>1512</v>
      </c>
      <c r="C7" s="33" t="s">
        <v>1513</v>
      </c>
      <c r="D7" s="31" t="s">
        <v>1506</v>
      </c>
    </row>
    <row r="8" customFormat="false" ht="15" hidden="false" customHeight="true" outlineLevel="0" collapsed="false">
      <c r="A8" s="33" t="s">
        <v>819</v>
      </c>
      <c r="B8" s="33" t="s">
        <v>1514</v>
      </c>
      <c r="C8" s="33" t="s">
        <v>1515</v>
      </c>
      <c r="D8" s="31" t="s">
        <v>1506</v>
      </c>
    </row>
    <row r="9" customFormat="false" ht="15" hidden="false" customHeight="true" outlineLevel="0" collapsed="false">
      <c r="A9" s="33" t="s">
        <v>371</v>
      </c>
      <c r="B9" s="33" t="s">
        <v>1516</v>
      </c>
      <c r="C9" s="33" t="s">
        <v>1517</v>
      </c>
      <c r="D9" s="31" t="s">
        <v>1506</v>
      </c>
    </row>
    <row r="10" customFormat="false" ht="15" hidden="false" customHeight="true" outlineLevel="0" collapsed="false">
      <c r="A10" s="33" t="s">
        <v>444</v>
      </c>
      <c r="B10" s="33" t="s">
        <v>1518</v>
      </c>
      <c r="C10" s="33" t="s">
        <v>1519</v>
      </c>
      <c r="D10" s="31" t="s">
        <v>1506</v>
      </c>
    </row>
    <row r="11" customFormat="false" ht="15" hidden="false" customHeight="true" outlineLevel="0" collapsed="false">
      <c r="A11" s="33" t="s">
        <v>319</v>
      </c>
      <c r="B11" s="33" t="s">
        <v>1520</v>
      </c>
      <c r="C11" s="33" t="s">
        <v>1521</v>
      </c>
      <c r="D11" s="31" t="s">
        <v>1506</v>
      </c>
    </row>
    <row r="12" customFormat="false" ht="15" hidden="false" customHeight="true" outlineLevel="0" collapsed="false">
      <c r="A12" s="33" t="s">
        <v>515</v>
      </c>
      <c r="B12" s="33" t="s">
        <v>1522</v>
      </c>
      <c r="C12" s="33" t="s">
        <v>1523</v>
      </c>
      <c r="D12" s="31" t="s">
        <v>1506</v>
      </c>
    </row>
    <row r="13" customFormat="false" ht="15" hidden="false" customHeight="true" outlineLevel="0" collapsed="false">
      <c r="A13" s="33" t="s">
        <v>764</v>
      </c>
      <c r="B13" s="33" t="s">
        <v>1524</v>
      </c>
      <c r="C13" s="33" t="s">
        <v>1525</v>
      </c>
      <c r="D13" s="31" t="s">
        <v>1506</v>
      </c>
    </row>
    <row r="14" customFormat="false" ht="15" hidden="false" customHeight="true" outlineLevel="0" collapsed="false">
      <c r="A14" s="33" t="s">
        <v>957</v>
      </c>
      <c r="B14" s="33" t="s">
        <v>1526</v>
      </c>
      <c r="C14" s="33" t="s">
        <v>1527</v>
      </c>
      <c r="D14" s="31" t="s">
        <v>1506</v>
      </c>
    </row>
  </sheetData>
  <dataValidations count="1">
    <dataValidation allowBlank="false" errorStyle="stop" operator="between" showDropDown="false" showErrorMessage="false" showInputMessage="false" sqref="D4:D14" type="list">
      <formula1>"Open,In progress,Passed,Failed"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90"/>
    <col collapsed="false" customWidth="true" hidden="false" outlineLevel="0" max="3" min="3" style="1" width="14"/>
    <col collapsed="false" customWidth="true" hidden="false" outlineLevel="0" max="4" min="4" style="1" width="40"/>
  </cols>
  <sheetData>
    <row r="1" customFormat="false" ht="17.25" hidden="false" customHeight="true" outlineLevel="0" collapsed="false">
      <c r="A1" s="5" t="s">
        <v>1528</v>
      </c>
    </row>
    <row r="3" customFormat="false" ht="15" hidden="false" customHeight="true" outlineLevel="0" collapsed="false">
      <c r="A3" s="7" t="s">
        <v>1529</v>
      </c>
      <c r="B3" s="7" t="s">
        <v>1530</v>
      </c>
      <c r="C3" s="7" t="s">
        <v>1531</v>
      </c>
      <c r="D3" s="7"/>
    </row>
    <row r="4" customFormat="false" ht="26.25" hidden="false" customHeight="true" outlineLevel="0" collapsed="false">
      <c r="A4" s="33" t="s">
        <v>1532</v>
      </c>
      <c r="B4" s="66" t="s">
        <v>1533</v>
      </c>
      <c r="C4" s="33" t="s">
        <v>242</v>
      </c>
    </row>
    <row r="5" customFormat="false" ht="15" hidden="false" customHeight="true" outlineLevel="0" collapsed="false">
      <c r="A5" s="33" t="s">
        <v>1534</v>
      </c>
      <c r="B5" s="66" t="s">
        <v>1535</v>
      </c>
      <c r="C5" s="33" t="s">
        <v>253</v>
      </c>
    </row>
    <row r="6" customFormat="false" ht="15" hidden="false" customHeight="true" outlineLevel="0" collapsed="false">
      <c r="A6" s="33" t="s">
        <v>1536</v>
      </c>
      <c r="B6" s="66" t="s">
        <v>1537</v>
      </c>
      <c r="C6" s="33" t="s">
        <v>253</v>
      </c>
    </row>
    <row r="7" customFormat="false" ht="15" hidden="false" customHeight="true" outlineLevel="0" collapsed="false">
      <c r="A7" s="33" t="s">
        <v>1538</v>
      </c>
      <c r="B7" s="66" t="s">
        <v>1539</v>
      </c>
      <c r="C7" s="33" t="s">
        <v>457</v>
      </c>
    </row>
    <row r="8" customFormat="false" ht="15" hidden="false" customHeight="true" outlineLevel="0" collapsed="false">
      <c r="A8" s="33" t="s">
        <v>1540</v>
      </c>
      <c r="B8" s="66" t="s">
        <v>1541</v>
      </c>
      <c r="C8" s="33" t="s">
        <v>1542</v>
      </c>
    </row>
    <row r="9" customFormat="false" ht="15" hidden="false" customHeight="true" outlineLevel="0" collapsed="false">
      <c r="A9" s="33" t="s">
        <v>1543</v>
      </c>
      <c r="B9" s="66" t="s">
        <v>1544</v>
      </c>
      <c r="C9" s="33" t="s">
        <v>480</v>
      </c>
    </row>
    <row r="10" customFormat="false" ht="15" hidden="false" customHeight="true" outlineLevel="0" collapsed="false">
      <c r="A10" s="33" t="s">
        <v>421</v>
      </c>
      <c r="B10" s="66" t="s">
        <v>1545</v>
      </c>
      <c r="C10" s="33" t="s">
        <v>415</v>
      </c>
    </row>
    <row r="11" customFormat="false" ht="15" hidden="false" customHeight="true" outlineLevel="0" collapsed="false">
      <c r="A11" s="33" t="s">
        <v>1546</v>
      </c>
      <c r="B11" s="66" t="s">
        <v>1547</v>
      </c>
      <c r="C11" s="33" t="s">
        <v>370</v>
      </c>
    </row>
    <row r="12" customFormat="false" ht="15" hidden="false" customHeight="true" outlineLevel="0" collapsed="false">
      <c r="A12" s="33" t="s">
        <v>1548</v>
      </c>
      <c r="B12" s="66" t="s">
        <v>1549</v>
      </c>
      <c r="C12" s="33" t="s">
        <v>571</v>
      </c>
    </row>
    <row r="13" customFormat="false" ht="15" hidden="false" customHeight="true" outlineLevel="0" collapsed="false">
      <c r="A13" s="33" t="s">
        <v>1550</v>
      </c>
      <c r="B13" s="66" t="s">
        <v>1551</v>
      </c>
      <c r="C13" s="33" t="s">
        <v>525</v>
      </c>
    </row>
    <row r="14" customFormat="false" ht="15" hidden="false" customHeight="true" outlineLevel="0" collapsed="false">
      <c r="A14" s="33" t="s">
        <v>1552</v>
      </c>
      <c r="B14" s="66" t="s">
        <v>1553</v>
      </c>
      <c r="C14" s="33" t="s">
        <v>557</v>
      </c>
    </row>
    <row r="15" customFormat="false" ht="15" hidden="false" customHeight="true" outlineLevel="0" collapsed="false">
      <c r="A15" s="33" t="s">
        <v>1554</v>
      </c>
      <c r="B15" s="66" t="s">
        <v>1555</v>
      </c>
      <c r="C15" s="33" t="s">
        <v>1556</v>
      </c>
    </row>
    <row r="16" customFormat="false" ht="15" hidden="false" customHeight="true" outlineLevel="0" collapsed="false">
      <c r="A16" s="33" t="s">
        <v>1557</v>
      </c>
      <c r="B16" s="66" t="s">
        <v>1558</v>
      </c>
      <c r="C16" s="33" t="s">
        <v>641</v>
      </c>
    </row>
    <row r="17" customFormat="false" ht="15" hidden="false" customHeight="true" outlineLevel="0" collapsed="false">
      <c r="A17" s="33" t="s">
        <v>1559</v>
      </c>
      <c r="B17" s="66" t="s">
        <v>1560</v>
      </c>
      <c r="C17" s="33" t="s">
        <v>712</v>
      </c>
    </row>
    <row r="18" customFormat="false" ht="15" hidden="false" customHeight="true" outlineLevel="0" collapsed="false">
      <c r="A18" s="33" t="s">
        <v>1561</v>
      </c>
      <c r="B18" s="66" t="s">
        <v>1562</v>
      </c>
      <c r="C18" s="33" t="s">
        <v>694</v>
      </c>
    </row>
    <row r="19" customFormat="false" ht="15" hidden="false" customHeight="true" outlineLevel="0" collapsed="false">
      <c r="A19" s="33" t="s">
        <v>1563</v>
      </c>
      <c r="B19" s="66" t="s">
        <v>1564</v>
      </c>
      <c r="C19" s="33" t="s">
        <v>818</v>
      </c>
    </row>
    <row r="20" customFormat="false" ht="15" hidden="false" customHeight="true" outlineLevel="0" collapsed="false">
      <c r="A20" s="33" t="s">
        <v>1565</v>
      </c>
      <c r="B20" s="66" t="s">
        <v>1566</v>
      </c>
      <c r="C20" s="33" t="s">
        <v>885</v>
      </c>
    </row>
    <row r="21" customFormat="false" ht="15" hidden="false" customHeight="true" outlineLevel="0" collapsed="false">
      <c r="A21" s="33" t="s">
        <v>1567</v>
      </c>
      <c r="B21" s="66" t="s">
        <v>1568</v>
      </c>
      <c r="C21" s="33" t="s">
        <v>1569</v>
      </c>
    </row>
    <row r="22" customFormat="false" ht="15" hidden="false" customHeight="true" outlineLevel="0" collapsed="false">
      <c r="A22" s="33" t="s">
        <v>1570</v>
      </c>
      <c r="B22" s="66" t="s">
        <v>1571</v>
      </c>
      <c r="C22" s="33" t="s">
        <v>188</v>
      </c>
    </row>
    <row r="25" customFormat="false" ht="17.25" hidden="false" customHeight="true" outlineLevel="0" collapsed="false">
      <c r="A25" s="5" t="s">
        <v>1572</v>
      </c>
    </row>
    <row r="26" customFormat="false" ht="15" hidden="false" customHeight="true" outlineLevel="0" collapsed="false">
      <c r="A26" s="7" t="s">
        <v>1573</v>
      </c>
      <c r="B26" s="7" t="s">
        <v>1574</v>
      </c>
      <c r="C26" s="7" t="s">
        <v>35</v>
      </c>
      <c r="D26" s="7" t="s">
        <v>1575</v>
      </c>
    </row>
    <row r="27" customFormat="false" ht="26.25" hidden="false" customHeight="true" outlineLevel="0" collapsed="false">
      <c r="A27" s="33" t="s">
        <v>1576</v>
      </c>
      <c r="B27" s="66" t="s">
        <v>1577</v>
      </c>
      <c r="C27" s="33" t="s">
        <v>1578</v>
      </c>
    </row>
    <row r="28" customFormat="false" ht="15" hidden="false" customHeight="true" outlineLevel="0" collapsed="false">
      <c r="A28" s="33" t="s">
        <v>1579</v>
      </c>
      <c r="B28" s="66" t="s">
        <v>1580</v>
      </c>
      <c r="C28" s="33" t="s">
        <v>1578</v>
      </c>
    </row>
    <row r="29" customFormat="false" ht="26.25" hidden="false" customHeight="true" outlineLevel="0" collapsed="false">
      <c r="A29" s="33" t="s">
        <v>1581</v>
      </c>
      <c r="B29" s="66" t="s">
        <v>1582</v>
      </c>
      <c r="C29" s="33" t="s">
        <v>1578</v>
      </c>
    </row>
    <row r="30" customFormat="false" ht="26.25" hidden="false" customHeight="true" outlineLevel="0" collapsed="false">
      <c r="A30" s="33" t="s">
        <v>1583</v>
      </c>
      <c r="B30" s="66" t="s">
        <v>1584</v>
      </c>
      <c r="C30" s="33" t="s">
        <v>1578</v>
      </c>
    </row>
    <row r="31" customFormat="false" ht="26.25" hidden="false" customHeight="true" outlineLevel="0" collapsed="false">
      <c r="A31" s="33" t="s">
        <v>1585</v>
      </c>
      <c r="B31" s="66" t="s">
        <v>1586</v>
      </c>
      <c r="C31" s="33" t="s">
        <v>1578</v>
      </c>
    </row>
    <row r="32" customFormat="false" ht="15" hidden="false" customHeight="true" outlineLevel="0" collapsed="false">
      <c r="A32" s="33" t="s">
        <v>1587</v>
      </c>
      <c r="B32" s="66" t="s">
        <v>1588</v>
      </c>
      <c r="C32" s="33" t="s">
        <v>1578</v>
      </c>
    </row>
    <row r="33" customFormat="false" ht="26.25" hidden="false" customHeight="true" outlineLevel="0" collapsed="false">
      <c r="A33" s="33" t="s">
        <v>1589</v>
      </c>
      <c r="B33" s="66" t="s">
        <v>1590</v>
      </c>
      <c r="C33" s="33" t="s">
        <v>1578</v>
      </c>
    </row>
    <row r="34" customFormat="false" ht="26.25" hidden="false" customHeight="true" outlineLevel="0" collapsed="false">
      <c r="A34" s="33" t="s">
        <v>1591</v>
      </c>
      <c r="B34" s="66" t="s">
        <v>1592</v>
      </c>
      <c r="C34" s="33" t="s">
        <v>1578</v>
      </c>
    </row>
    <row r="35" customFormat="false" ht="26.25" hidden="false" customHeight="true" outlineLevel="0" collapsed="false">
      <c r="A35" s="33" t="s">
        <v>1593</v>
      </c>
      <c r="B35" s="66" t="s">
        <v>1594</v>
      </c>
      <c r="C35" s="33" t="s">
        <v>1578</v>
      </c>
    </row>
    <row r="36" customFormat="false" ht="39" hidden="false" customHeight="true" outlineLevel="0" collapsed="false">
      <c r="A36" s="33" t="s">
        <v>1595</v>
      </c>
      <c r="B36" s="66" t="s">
        <v>1596</v>
      </c>
      <c r="C36" s="33" t="s">
        <v>1597</v>
      </c>
    </row>
    <row r="37" customFormat="false" ht="26.25" hidden="false" customHeight="true" outlineLevel="0" collapsed="false">
      <c r="A37" s="33" t="s">
        <v>1598</v>
      </c>
      <c r="B37" s="66" t="s">
        <v>1599</v>
      </c>
      <c r="C37" s="33" t="s">
        <v>1578</v>
      </c>
    </row>
    <row r="38" customFormat="false" ht="26.25" hidden="false" customHeight="true" outlineLevel="0" collapsed="false">
      <c r="A38" s="33" t="s">
        <v>1600</v>
      </c>
      <c r="B38" s="66" t="s">
        <v>1601</v>
      </c>
      <c r="C38" s="33" t="s">
        <v>1578</v>
      </c>
    </row>
    <row r="39" customFormat="false" ht="15" hidden="false" customHeight="true" outlineLevel="0" collapsed="false">
      <c r="A39" s="33" t="s">
        <v>1602</v>
      </c>
      <c r="B39" s="66" t="s">
        <v>1603</v>
      </c>
      <c r="C39" s="33" t="s">
        <v>1578</v>
      </c>
    </row>
    <row r="40" customFormat="false" ht="15" hidden="false" customHeight="true" outlineLevel="0" collapsed="false">
      <c r="A40" s="33" t="s">
        <v>1604</v>
      </c>
      <c r="B40" s="66" t="s">
        <v>1605</v>
      </c>
      <c r="C40" s="33" t="s">
        <v>1578</v>
      </c>
    </row>
    <row r="41" customFormat="false" ht="15" hidden="false" customHeight="true" outlineLevel="0" collapsed="false">
      <c r="A41" s="33" t="s">
        <v>1606</v>
      </c>
      <c r="B41" s="66" t="s">
        <v>1607</v>
      </c>
      <c r="C41" s="33" t="s">
        <v>1578</v>
      </c>
    </row>
    <row r="42" customFormat="false" ht="26.25" hidden="false" customHeight="true" outlineLevel="0" collapsed="false">
      <c r="A42" s="33" t="s">
        <v>1608</v>
      </c>
      <c r="B42" s="66" t="s">
        <v>1609</v>
      </c>
      <c r="C42" s="33" t="s">
        <v>1578</v>
      </c>
    </row>
    <row r="43" customFormat="false" ht="15" hidden="false" customHeight="true" outlineLevel="0" collapsed="false">
      <c r="A43" s="33" t="s">
        <v>1610</v>
      </c>
      <c r="B43" s="66" t="s">
        <v>1611</v>
      </c>
      <c r="C43" s="33" t="s">
        <v>1578</v>
      </c>
    </row>
    <row r="44" customFormat="false" ht="15" hidden="false" customHeight="true" outlineLevel="0" collapsed="false">
      <c r="A44" s="33" t="s">
        <v>1612</v>
      </c>
      <c r="B44" s="66" t="s">
        <v>1613</v>
      </c>
      <c r="C44" s="33" t="s">
        <v>1578</v>
      </c>
    </row>
    <row r="45" customFormat="false" ht="15" hidden="false" customHeight="true" outlineLevel="0" collapsed="false">
      <c r="A45" s="33" t="s">
        <v>1614</v>
      </c>
      <c r="B45" s="66" t="s">
        <v>1615</v>
      </c>
      <c r="C45" s="33" t="s">
        <v>1578</v>
      </c>
    </row>
    <row r="46" customFormat="false" ht="26.25" hidden="false" customHeight="true" outlineLevel="0" collapsed="false">
      <c r="A46" s="33" t="s">
        <v>1616</v>
      </c>
      <c r="B46" s="66" t="s">
        <v>1617</v>
      </c>
      <c r="C46" s="33" t="s">
        <v>1578</v>
      </c>
    </row>
    <row r="47" customFormat="false" ht="39" hidden="false" customHeight="true" outlineLevel="0" collapsed="false">
      <c r="A47" s="33" t="s">
        <v>1618</v>
      </c>
      <c r="B47" s="66" t="s">
        <v>1619</v>
      </c>
      <c r="C47" s="33" t="s">
        <v>1620</v>
      </c>
    </row>
    <row r="48" customFormat="false" ht="15" hidden="false" customHeight="true" outlineLevel="0" collapsed="false">
      <c r="A48" s="33" t="s">
        <v>1621</v>
      </c>
      <c r="B48" s="66" t="s">
        <v>1622</v>
      </c>
      <c r="C48" s="33" t="s">
        <v>1578</v>
      </c>
    </row>
    <row r="49" customFormat="false" ht="26.25" hidden="false" customHeight="true" outlineLevel="0" collapsed="false">
      <c r="A49" s="33" t="s">
        <v>1623</v>
      </c>
      <c r="B49" s="66" t="s">
        <v>1624</v>
      </c>
      <c r="C49" s="33" t="s">
        <v>1578</v>
      </c>
    </row>
    <row r="50" customFormat="false" ht="15" hidden="false" customHeight="true" outlineLevel="0" collapsed="false">
      <c r="A50" s="33" t="s">
        <v>1625</v>
      </c>
      <c r="B50" s="66" t="s">
        <v>1626</v>
      </c>
      <c r="C50" s="33" t="s">
        <v>1578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 collapsed="false" customWidth="true" hidden="false" outlineLevel="0" max="2" min="2" style="1" width="90"/>
    <col collapsed="false" customWidth="true" hidden="false" outlineLevel="0" max="3" min="3" style="1" width="40"/>
  </cols>
  <sheetData>
    <row r="1" customFormat="false" ht="17.25" hidden="false" customHeight="true" outlineLevel="0" collapsed="false">
      <c r="A1" s="5" t="s">
        <v>1627</v>
      </c>
    </row>
    <row r="3" customFormat="false" ht="15" hidden="false" customHeight="true" outlineLevel="0" collapsed="false">
      <c r="A3" s="7" t="s">
        <v>1529</v>
      </c>
      <c r="B3" s="7" t="s">
        <v>1575</v>
      </c>
      <c r="C3" s="7" t="s">
        <v>1628</v>
      </c>
    </row>
    <row r="4" customFormat="false" ht="15" hidden="false" customHeight="true" outlineLevel="0" collapsed="false">
      <c r="A4" s="33" t="s">
        <v>70</v>
      </c>
      <c r="B4" s="67" t="s">
        <v>71</v>
      </c>
      <c r="C4" s="33" t="s">
        <v>1629</v>
      </c>
    </row>
    <row r="5" customFormat="false" ht="15" hidden="false" customHeight="true" outlineLevel="0" collapsed="false">
      <c r="A5" s="33" t="s">
        <v>603</v>
      </c>
      <c r="B5" s="67" t="s">
        <v>604</v>
      </c>
      <c r="C5" s="33" t="s">
        <v>597</v>
      </c>
    </row>
    <row r="6" customFormat="false" ht="15" hidden="false" customHeight="true" outlineLevel="0" collapsed="false">
      <c r="A6" s="33" t="s">
        <v>519</v>
      </c>
      <c r="B6" s="67" t="s">
        <v>520</v>
      </c>
      <c r="C6" s="33" t="s">
        <v>1630</v>
      </c>
    </row>
    <row r="7" customFormat="false" ht="15" hidden="false" customHeight="true" outlineLevel="0" collapsed="false">
      <c r="A7" s="33" t="s">
        <v>326</v>
      </c>
      <c r="B7" s="67" t="s">
        <v>327</v>
      </c>
      <c r="C7" s="33" t="s">
        <v>1631</v>
      </c>
    </row>
    <row r="8" customFormat="false" ht="15" hidden="false" customHeight="true" outlineLevel="0" collapsed="false">
      <c r="A8" s="33" t="s">
        <v>138</v>
      </c>
      <c r="B8" s="67" t="s">
        <v>139</v>
      </c>
      <c r="C8" s="33" t="s">
        <v>1632</v>
      </c>
    </row>
    <row r="9" customFormat="false" ht="15" hidden="false" customHeight="true" outlineLevel="0" collapsed="false">
      <c r="A9" s="33" t="s">
        <v>198</v>
      </c>
      <c r="B9" s="67" t="s">
        <v>199</v>
      </c>
      <c r="C9" s="33" t="s">
        <v>188</v>
      </c>
    </row>
    <row r="10" customFormat="false" ht="15" hidden="false" customHeight="true" outlineLevel="0" collapsed="false">
      <c r="A10" s="33" t="s">
        <v>264</v>
      </c>
      <c r="B10" s="67" t="s">
        <v>265</v>
      </c>
      <c r="C10" s="33" t="s">
        <v>253</v>
      </c>
    </row>
    <row r="11" customFormat="false" ht="15" hidden="false" customHeight="true" outlineLevel="0" collapsed="false">
      <c r="A11" s="33" t="s">
        <v>1019</v>
      </c>
      <c r="B11" s="67" t="s">
        <v>1020</v>
      </c>
      <c r="C11" s="33" t="s">
        <v>1633</v>
      </c>
    </row>
    <row r="12" customFormat="false" ht="15" hidden="false" customHeight="true" outlineLevel="0" collapsed="false">
      <c r="A12" s="33" t="s">
        <v>1046</v>
      </c>
      <c r="B12" s="67" t="s">
        <v>1047</v>
      </c>
      <c r="C12" s="33" t="s">
        <v>1043</v>
      </c>
    </row>
    <row r="13" customFormat="false" ht="15" hidden="false" customHeight="true" outlineLevel="0" collapsed="false">
      <c r="A13" s="33" t="s">
        <v>1055</v>
      </c>
      <c r="B13" s="67" t="s">
        <v>1056</v>
      </c>
      <c r="C13" s="33" t="s">
        <v>1634</v>
      </c>
    </row>
    <row r="14" customFormat="false" ht="15" hidden="false" customHeight="true" outlineLevel="0" collapsed="false">
      <c r="A14" s="33" t="s">
        <v>293</v>
      </c>
      <c r="B14" s="67" t="s">
        <v>294</v>
      </c>
      <c r="C14" s="33" t="s">
        <v>286</v>
      </c>
    </row>
    <row r="15" customFormat="false" ht="15" hidden="false" customHeight="true" outlineLevel="0" collapsed="false">
      <c r="A15" s="33" t="s">
        <v>530</v>
      </c>
      <c r="B15" s="67" t="s">
        <v>531</v>
      </c>
      <c r="C15" s="33" t="s">
        <v>1635</v>
      </c>
    </row>
    <row r="16" customFormat="false" ht="15" hidden="false" customHeight="true" outlineLevel="0" collapsed="false">
      <c r="A16" s="33" t="s">
        <v>124</v>
      </c>
      <c r="B16" s="67" t="s">
        <v>125</v>
      </c>
      <c r="C16" s="33" t="s">
        <v>119</v>
      </c>
    </row>
    <row r="17" customFormat="false" ht="15" hidden="false" customHeight="true" outlineLevel="0" collapsed="false">
      <c r="A17" s="33" t="s">
        <v>447</v>
      </c>
      <c r="B17" s="67" t="s">
        <v>448</v>
      </c>
      <c r="C17" s="33" t="s">
        <v>1636</v>
      </c>
    </row>
    <row r="18" customFormat="false" ht="15" hidden="false" customHeight="true" outlineLevel="0" collapsed="false">
      <c r="A18" s="33" t="s">
        <v>332</v>
      </c>
      <c r="B18" s="67" t="s">
        <v>333</v>
      </c>
      <c r="C18" s="33" t="s">
        <v>329</v>
      </c>
    </row>
    <row r="19" customFormat="false" ht="15" hidden="false" customHeight="true" outlineLevel="0" collapsed="false">
      <c r="A19" s="33" t="s">
        <v>725</v>
      </c>
      <c r="B19" s="67" t="s">
        <v>726</v>
      </c>
      <c r="C19" s="33" t="s">
        <v>1637</v>
      </c>
    </row>
    <row r="20" customFormat="false" ht="15" hidden="false" customHeight="true" outlineLevel="0" collapsed="false">
      <c r="A20" s="33" t="s">
        <v>127</v>
      </c>
      <c r="B20" s="67" t="s">
        <v>128</v>
      </c>
      <c r="C20" s="33" t="s">
        <v>119</v>
      </c>
    </row>
    <row r="21" customFormat="false" ht="15" hidden="false" customHeight="true" outlineLevel="0" collapsed="false">
      <c r="A21" s="33" t="s">
        <v>771</v>
      </c>
      <c r="B21" s="67" t="s">
        <v>772</v>
      </c>
      <c r="C21" s="33" t="s">
        <v>1638</v>
      </c>
    </row>
    <row r="22" customFormat="false" ht="15" hidden="false" customHeight="true" outlineLevel="0" collapsed="false">
      <c r="A22" s="33" t="s">
        <v>89</v>
      </c>
      <c r="B22" s="67" t="s">
        <v>90</v>
      </c>
      <c r="C22" s="33" t="s">
        <v>78</v>
      </c>
    </row>
    <row r="23" customFormat="false" ht="15" hidden="false" customHeight="true" outlineLevel="0" collapsed="false">
      <c r="A23" s="33" t="s">
        <v>375</v>
      </c>
      <c r="B23" s="67" t="s">
        <v>376</v>
      </c>
      <c r="C23" s="33" t="s">
        <v>370</v>
      </c>
    </row>
    <row r="24" customFormat="false" ht="15" hidden="false" customHeight="true" outlineLevel="0" collapsed="false">
      <c r="A24" s="33" t="s">
        <v>412</v>
      </c>
      <c r="B24" s="67" t="s">
        <v>413</v>
      </c>
      <c r="C24" s="33" t="s">
        <v>1639</v>
      </c>
    </row>
    <row r="25" customFormat="false" ht="15" hidden="false" customHeight="true" outlineLevel="0" collapsed="false">
      <c r="A25" s="33" t="s">
        <v>533</v>
      </c>
      <c r="B25" s="67" t="s">
        <v>534</v>
      </c>
      <c r="C25" s="33" t="s">
        <v>525</v>
      </c>
    </row>
    <row r="26" customFormat="false" ht="15" hidden="false" customHeight="true" outlineLevel="0" collapsed="false">
      <c r="A26" s="33" t="s">
        <v>547</v>
      </c>
      <c r="B26" s="67" t="s">
        <v>548</v>
      </c>
      <c r="C26" s="33" t="s">
        <v>540</v>
      </c>
    </row>
    <row r="27" customFormat="false" ht="15" hidden="false" customHeight="true" outlineLevel="0" collapsed="false">
      <c r="A27" s="33" t="s">
        <v>230</v>
      </c>
      <c r="B27" s="67" t="s">
        <v>231</v>
      </c>
      <c r="C27" s="33" t="s">
        <v>222</v>
      </c>
    </row>
    <row r="28" customFormat="false" ht="15" hidden="false" customHeight="true" outlineLevel="0" collapsed="false">
      <c r="A28" s="33" t="s">
        <v>261</v>
      </c>
      <c r="B28" s="67" t="s">
        <v>262</v>
      </c>
      <c r="C28" s="33" t="s">
        <v>253</v>
      </c>
    </row>
    <row r="29" customFormat="false" ht="15" hidden="false" customHeight="true" outlineLevel="0" collapsed="false">
      <c r="A29" s="33" t="s">
        <v>628</v>
      </c>
      <c r="B29" s="67" t="s">
        <v>629</v>
      </c>
      <c r="C29" s="33" t="s">
        <v>625</v>
      </c>
    </row>
    <row r="30" customFormat="false" ht="15" hidden="false" customHeight="true" outlineLevel="0" collapsed="false">
      <c r="A30" s="33" t="s">
        <v>454</v>
      </c>
      <c r="B30" s="67" t="s">
        <v>455</v>
      </c>
      <c r="C30" s="33" t="s">
        <v>450</v>
      </c>
    </row>
    <row r="31" customFormat="false" ht="15" hidden="false" customHeight="true" outlineLevel="0" collapsed="false">
      <c r="A31" s="33" t="s">
        <v>209</v>
      </c>
      <c r="B31" s="67" t="s">
        <v>210</v>
      </c>
      <c r="C31" s="33" t="s">
        <v>201</v>
      </c>
    </row>
    <row r="32" customFormat="false" ht="15" hidden="false" customHeight="true" outlineLevel="0" collapsed="false">
      <c r="A32" s="33" t="s">
        <v>882</v>
      </c>
      <c r="B32" s="67" t="s">
        <v>883</v>
      </c>
      <c r="C32" s="33" t="s">
        <v>879</v>
      </c>
    </row>
    <row r="33" customFormat="false" ht="15" hidden="false" customHeight="true" outlineLevel="0" collapsed="false">
      <c r="A33" s="33" t="s">
        <v>185</v>
      </c>
      <c r="B33" s="67" t="s">
        <v>186</v>
      </c>
      <c r="C33" s="33" t="s">
        <v>181</v>
      </c>
    </row>
    <row r="34" customFormat="false" ht="15" hidden="false" customHeight="true" outlineLevel="0" collapsed="false">
      <c r="A34" s="33" t="s">
        <v>290</v>
      </c>
      <c r="B34" s="67" t="s">
        <v>291</v>
      </c>
      <c r="C34" s="33" t="s">
        <v>286</v>
      </c>
    </row>
    <row r="35" customFormat="false" ht="15" hidden="false" customHeight="true" outlineLevel="0" collapsed="false">
      <c r="A35" s="33" t="s">
        <v>250</v>
      </c>
      <c r="B35" s="67" t="s">
        <v>251</v>
      </c>
      <c r="C35" s="33" t="s">
        <v>242</v>
      </c>
    </row>
    <row r="36" customFormat="false" ht="15" hidden="false" customHeight="true" outlineLevel="0" collapsed="false">
      <c r="A36" s="33" t="s">
        <v>56</v>
      </c>
      <c r="B36" s="67" t="s">
        <v>57</v>
      </c>
      <c r="C36" s="33" t="s">
        <v>47</v>
      </c>
    </row>
    <row r="37" customFormat="false" ht="15" hidden="false" customHeight="true" outlineLevel="0" collapsed="false">
      <c r="A37" s="33" t="s">
        <v>428</v>
      </c>
      <c r="B37" s="67" t="s">
        <v>429</v>
      </c>
      <c r="C37" s="33" t="s">
        <v>424</v>
      </c>
    </row>
    <row r="38" customFormat="false" ht="15" hidden="false" customHeight="true" outlineLevel="0" collapsed="false">
      <c r="A38" s="33" t="s">
        <v>86</v>
      </c>
      <c r="B38" s="67" t="s">
        <v>87</v>
      </c>
      <c r="C38" s="33" t="s">
        <v>78</v>
      </c>
    </row>
    <row r="39" customFormat="false" ht="15" hidden="false" customHeight="true" outlineLevel="0" collapsed="false">
      <c r="A39" s="33" t="s">
        <v>576</v>
      </c>
      <c r="B39" s="67" t="s">
        <v>577</v>
      </c>
      <c r="C39" s="33" t="s">
        <v>571</v>
      </c>
    </row>
    <row r="40" customFormat="false" ht="15" hidden="false" customHeight="true" outlineLevel="0" collapsed="false">
      <c r="A40" s="33" t="s">
        <v>594</v>
      </c>
      <c r="B40" s="67" t="s">
        <v>595</v>
      </c>
      <c r="C40" s="33" t="s">
        <v>586</v>
      </c>
    </row>
    <row r="41" customFormat="false" ht="15" hidden="false" customHeight="true" outlineLevel="0" collapsed="false">
      <c r="A41" s="33" t="s">
        <v>195</v>
      </c>
      <c r="B41" s="67" t="s">
        <v>196</v>
      </c>
      <c r="C41" s="33" t="s">
        <v>188</v>
      </c>
    </row>
    <row r="42" customFormat="false" ht="15" hidden="false" customHeight="true" outlineLevel="0" collapsed="false">
      <c r="A42" s="33" t="s">
        <v>195</v>
      </c>
      <c r="B42" s="67" t="s">
        <v>240</v>
      </c>
      <c r="C42" s="33" t="s">
        <v>236</v>
      </c>
    </row>
    <row r="43" customFormat="false" ht="15" hidden="false" customHeight="true" outlineLevel="0" collapsed="false">
      <c r="A43" s="33" t="s">
        <v>306</v>
      </c>
      <c r="B43" s="67" t="s">
        <v>307</v>
      </c>
      <c r="C43" s="33" t="s">
        <v>1640</v>
      </c>
    </row>
    <row r="44" customFormat="false" ht="15" hidden="false" customHeight="true" outlineLevel="0" collapsed="false">
      <c r="A44" s="33" t="s">
        <v>609</v>
      </c>
      <c r="B44" s="67" t="s">
        <v>610</v>
      </c>
      <c r="C44" s="33" t="s">
        <v>606</v>
      </c>
    </row>
    <row r="45" customFormat="false" ht="15" hidden="false" customHeight="true" outlineLevel="0" collapsed="false">
      <c r="A45" s="33" t="s">
        <v>397</v>
      </c>
      <c r="B45" s="67" t="s">
        <v>398</v>
      </c>
      <c r="C45" s="33" t="s">
        <v>391</v>
      </c>
    </row>
    <row r="46" customFormat="false" ht="15" hidden="false" customHeight="true" outlineLevel="0" collapsed="false">
      <c r="A46" s="33" t="s">
        <v>227</v>
      </c>
      <c r="B46" s="67" t="s">
        <v>228</v>
      </c>
      <c r="C46" s="33" t="s">
        <v>1641</v>
      </c>
    </row>
    <row r="47" customFormat="false" ht="15" hidden="false" customHeight="true" outlineLevel="0" collapsed="false">
      <c r="A47" s="33" t="s">
        <v>853</v>
      </c>
      <c r="B47" s="67" t="s">
        <v>854</v>
      </c>
      <c r="C47" s="33" t="s">
        <v>849</v>
      </c>
    </row>
    <row r="48" customFormat="false" ht="15" hidden="false" customHeight="true" outlineLevel="0" collapsed="false">
      <c r="A48" s="33" t="s">
        <v>440</v>
      </c>
      <c r="B48" s="67" t="s">
        <v>441</v>
      </c>
      <c r="C48" s="33" t="s">
        <v>1642</v>
      </c>
    </row>
    <row r="49" customFormat="false" ht="15" hidden="false" customHeight="true" outlineLevel="0" collapsed="false">
      <c r="A49" s="33" t="s">
        <v>940</v>
      </c>
      <c r="B49" s="67" t="s">
        <v>941</v>
      </c>
      <c r="C49" s="33" t="s">
        <v>936</v>
      </c>
    </row>
    <row r="50" customFormat="false" ht="15" hidden="false" customHeight="true" outlineLevel="0" collapsed="false">
      <c r="A50" s="33" t="s">
        <v>59</v>
      </c>
      <c r="B50" s="67" t="s">
        <v>60</v>
      </c>
      <c r="C50" s="33" t="s">
        <v>47</v>
      </c>
    </row>
    <row r="51" customFormat="false" ht="15" hidden="false" customHeight="true" outlineLevel="0" collapsed="false">
      <c r="A51" s="33" t="s">
        <v>344</v>
      </c>
      <c r="B51" s="67" t="s">
        <v>345</v>
      </c>
      <c r="C51" s="33" t="s">
        <v>339</v>
      </c>
    </row>
    <row r="52" customFormat="false" ht="15" hidden="false" customHeight="true" outlineLevel="0" collapsed="false">
      <c r="A52" s="33" t="s">
        <v>799</v>
      </c>
      <c r="B52" s="67" t="s">
        <v>800</v>
      </c>
      <c r="C52" s="33" t="s">
        <v>795</v>
      </c>
    </row>
    <row r="53" customFormat="false" ht="15" hidden="false" customHeight="true" outlineLevel="0" collapsed="false">
      <c r="A53" s="33" t="s">
        <v>802</v>
      </c>
      <c r="B53" s="67" t="s">
        <v>803</v>
      </c>
      <c r="C53" s="33" t="s">
        <v>795</v>
      </c>
    </row>
    <row r="54" customFormat="false" ht="15" hidden="false" customHeight="true" outlineLevel="0" collapsed="false">
      <c r="A54" s="33" t="s">
        <v>616</v>
      </c>
      <c r="B54" s="67" t="s">
        <v>617</v>
      </c>
      <c r="C54" s="33" t="s">
        <v>612</v>
      </c>
    </row>
    <row r="55" customFormat="false" ht="15" hidden="false" customHeight="true" outlineLevel="0" collapsed="false">
      <c r="A55" s="33" t="s">
        <v>846</v>
      </c>
      <c r="B55" s="67" t="s">
        <v>847</v>
      </c>
      <c r="C55" s="33" t="s">
        <v>844</v>
      </c>
    </row>
    <row r="56" customFormat="false" ht="15" hidden="false" customHeight="true" outlineLevel="0" collapsed="false">
      <c r="A56" s="33" t="s">
        <v>827</v>
      </c>
      <c r="B56" s="67" t="s">
        <v>828</v>
      </c>
      <c r="C56" s="33" t="s">
        <v>1643</v>
      </c>
    </row>
    <row r="57" customFormat="false" ht="15" hidden="false" customHeight="true" outlineLevel="0" collapsed="false">
      <c r="A57" s="33" t="s">
        <v>824</v>
      </c>
      <c r="B57" s="67" t="s">
        <v>825</v>
      </c>
      <c r="C57" s="33" t="s">
        <v>818</v>
      </c>
    </row>
    <row r="58" customFormat="false" ht="15" hidden="false" customHeight="true" outlineLevel="0" collapsed="false">
      <c r="A58" s="33" t="s">
        <v>233</v>
      </c>
      <c r="B58" s="67" t="s">
        <v>234</v>
      </c>
      <c r="C58" s="33" t="s">
        <v>222</v>
      </c>
    </row>
    <row r="59" customFormat="false" ht="15" hidden="false" customHeight="true" outlineLevel="0" collapsed="false">
      <c r="A59" s="33" t="s">
        <v>303</v>
      </c>
      <c r="B59" s="67" t="s">
        <v>304</v>
      </c>
      <c r="C59" s="33" t="s">
        <v>296</v>
      </c>
    </row>
    <row r="60" customFormat="false" ht="15" hidden="false" customHeight="true" outlineLevel="0" collapsed="false">
      <c r="A60" s="33" t="s">
        <v>135</v>
      </c>
      <c r="B60" s="67" t="s">
        <v>136</v>
      </c>
      <c r="C60" s="33" t="s">
        <v>130</v>
      </c>
    </row>
    <row r="61" customFormat="false" ht="15" hidden="false" customHeight="true" outlineLevel="0" collapsed="false">
      <c r="A61" s="33" t="s">
        <v>354</v>
      </c>
      <c r="B61" s="67" t="s">
        <v>355</v>
      </c>
      <c r="C61" s="33" t="s">
        <v>350</v>
      </c>
    </row>
    <row r="62" customFormat="false" ht="15" hidden="false" customHeight="true" outlineLevel="0" collapsed="false">
      <c r="A62" s="33" t="s">
        <v>600</v>
      </c>
      <c r="B62" s="67" t="s">
        <v>601</v>
      </c>
      <c r="C62" s="33" t="s">
        <v>1644</v>
      </c>
    </row>
    <row r="63" customFormat="false" ht="15" hidden="false" customHeight="true" outlineLevel="0" collapsed="false">
      <c r="A63" s="33" t="s">
        <v>258</v>
      </c>
      <c r="B63" s="67" t="s">
        <v>259</v>
      </c>
      <c r="C63" s="33" t="s">
        <v>253</v>
      </c>
    </row>
    <row r="64" customFormat="false" ht="15" hidden="false" customHeight="true" outlineLevel="0" collapsed="false">
      <c r="A64" s="33" t="s">
        <v>273</v>
      </c>
      <c r="B64" s="67" t="s">
        <v>274</v>
      </c>
      <c r="C64" s="33" t="s">
        <v>267</v>
      </c>
    </row>
    <row r="65" customFormat="false" ht="15" hidden="false" customHeight="true" outlineLevel="0" collapsed="false">
      <c r="A65" s="33" t="s">
        <v>554</v>
      </c>
      <c r="B65" s="67" t="s">
        <v>555</v>
      </c>
      <c r="C65" s="33" t="s">
        <v>550</v>
      </c>
    </row>
    <row r="66" customFormat="false" ht="15" hidden="false" customHeight="true" outlineLevel="0" collapsed="false">
      <c r="A66" s="33" t="s">
        <v>699</v>
      </c>
      <c r="B66" s="67" t="s">
        <v>700</v>
      </c>
      <c r="C66" s="33" t="s">
        <v>694</v>
      </c>
    </row>
    <row r="67" customFormat="false" ht="15" hidden="false" customHeight="true" outlineLevel="0" collapsed="false">
      <c r="A67" s="33" t="s">
        <v>463</v>
      </c>
      <c r="B67" s="67" t="s">
        <v>464</v>
      </c>
      <c r="C67" s="33" t="s">
        <v>457</v>
      </c>
    </row>
    <row r="68" customFormat="false" ht="15" hidden="false" customHeight="true" outlineLevel="0" collapsed="false">
      <c r="A68" s="33" t="s">
        <v>192</v>
      </c>
      <c r="B68" s="67" t="s">
        <v>193</v>
      </c>
      <c r="C68" s="33" t="s">
        <v>188</v>
      </c>
    </row>
    <row r="69" customFormat="false" ht="15" hidden="false" customHeight="true" outlineLevel="0" collapsed="false">
      <c r="A69" s="33" t="s">
        <v>62</v>
      </c>
      <c r="B69" s="67" t="s">
        <v>63</v>
      </c>
      <c r="C69" s="33" t="s">
        <v>47</v>
      </c>
    </row>
    <row r="70" customFormat="false" ht="15" hidden="false" customHeight="true" outlineLevel="0" collapsed="false">
      <c r="A70" s="33" t="s">
        <v>357</v>
      </c>
      <c r="B70" s="67" t="s">
        <v>358</v>
      </c>
      <c r="C70" s="33" t="s">
        <v>1645</v>
      </c>
    </row>
    <row r="71" customFormat="false" ht="15" hidden="false" customHeight="true" outlineLevel="0" collapsed="false">
      <c r="A71" s="33" t="s">
        <v>469</v>
      </c>
      <c r="B71" s="67" t="s">
        <v>470</v>
      </c>
      <c r="C71" s="33" t="s">
        <v>1646</v>
      </c>
    </row>
    <row r="72" customFormat="false" ht="15" hidden="false" customHeight="true" outlineLevel="0" collapsed="false">
      <c r="A72" s="33" t="s">
        <v>861</v>
      </c>
      <c r="B72" s="67" t="s">
        <v>862</v>
      </c>
      <c r="C72" s="33" t="s">
        <v>856</v>
      </c>
    </row>
    <row r="73" customFormat="false" ht="15" hidden="false" customHeight="true" outlineLevel="0" collapsed="false">
      <c r="A73" s="33" t="s">
        <v>149</v>
      </c>
      <c r="B73" s="67" t="s">
        <v>150</v>
      </c>
      <c r="C73" s="33" t="s">
        <v>144</v>
      </c>
    </row>
    <row r="74" customFormat="false" ht="15" hidden="false" customHeight="true" outlineLevel="0" collapsed="false">
      <c r="A74" s="33" t="s">
        <v>170</v>
      </c>
      <c r="B74" s="67" t="s">
        <v>171</v>
      </c>
      <c r="C74" s="33" t="s">
        <v>1647</v>
      </c>
    </row>
    <row r="75" customFormat="false" ht="15" hidden="false" customHeight="true" outlineLevel="0" collapsed="false">
      <c r="A75" s="33" t="s">
        <v>864</v>
      </c>
      <c r="B75" s="67" t="s">
        <v>865</v>
      </c>
      <c r="C75" s="33" t="s">
        <v>856</v>
      </c>
    </row>
    <row r="76" customFormat="false" ht="15" hidden="false" customHeight="true" outlineLevel="0" collapsed="false">
      <c r="A76" s="33" t="s">
        <v>141</v>
      </c>
      <c r="B76" s="67" t="s">
        <v>142</v>
      </c>
      <c r="C76" s="33" t="s">
        <v>130</v>
      </c>
    </row>
    <row r="77" customFormat="false" ht="15" hidden="false" customHeight="true" outlineLevel="0" collapsed="false">
      <c r="A77" s="33" t="s">
        <v>73</v>
      </c>
      <c r="B77" s="67" t="s">
        <v>74</v>
      </c>
      <c r="C77" s="33" t="s">
        <v>1629</v>
      </c>
    </row>
    <row r="78" customFormat="false" ht="15" hidden="false" customHeight="true" outlineLevel="0" collapsed="false">
      <c r="A78" s="33" t="s">
        <v>638</v>
      </c>
      <c r="B78" s="67" t="s">
        <v>639</v>
      </c>
      <c r="C78" s="33" t="s">
        <v>632</v>
      </c>
    </row>
    <row r="79" customFormat="false" ht="15" hidden="false" customHeight="true" outlineLevel="0" collapsed="false">
      <c r="A79" s="33" t="s">
        <v>760</v>
      </c>
      <c r="B79" s="67" t="s">
        <v>761</v>
      </c>
      <c r="C79" s="33" t="s">
        <v>756</v>
      </c>
    </row>
    <row r="80" customFormat="false" ht="15" hidden="false" customHeight="true" outlineLevel="0" collapsed="false">
      <c r="A80" s="33" t="s">
        <v>565</v>
      </c>
      <c r="B80" s="67" t="s">
        <v>566</v>
      </c>
      <c r="C80" s="33" t="s">
        <v>557</v>
      </c>
    </row>
    <row r="81" customFormat="false" ht="15" hidden="false" customHeight="true" outlineLevel="0" collapsed="false">
      <c r="A81" s="33" t="s">
        <v>173</v>
      </c>
      <c r="B81" s="67" t="s">
        <v>174</v>
      </c>
      <c r="C81" s="33" t="s">
        <v>165</v>
      </c>
    </row>
    <row r="82" customFormat="false" ht="15" hidden="false" customHeight="true" outlineLevel="0" collapsed="false">
      <c r="A82" s="33" t="s">
        <v>323</v>
      </c>
      <c r="B82" s="67" t="s">
        <v>324</v>
      </c>
      <c r="C82" s="33" t="s">
        <v>318</v>
      </c>
    </row>
    <row r="83" customFormat="false" ht="15" hidden="false" customHeight="true" outlineLevel="0" collapsed="false">
      <c r="A83" s="33" t="s">
        <v>347</v>
      </c>
      <c r="B83" s="67" t="s">
        <v>348</v>
      </c>
      <c r="C83" s="33" t="s">
        <v>339</v>
      </c>
    </row>
    <row r="84" customFormat="false" ht="15" hidden="false" customHeight="true" outlineLevel="0" collapsed="false">
      <c r="A84" s="33" t="s">
        <v>437</v>
      </c>
      <c r="B84" s="67" t="s">
        <v>438</v>
      </c>
      <c r="C84" s="33" t="s">
        <v>434</v>
      </c>
    </row>
    <row r="85" customFormat="false" ht="15" hidden="false" customHeight="true" outlineLevel="0" collapsed="false">
      <c r="A85" s="33" t="s">
        <v>779</v>
      </c>
      <c r="B85" s="67" t="s">
        <v>780</v>
      </c>
      <c r="C85" s="33" t="s">
        <v>776</v>
      </c>
    </row>
    <row r="86" customFormat="false" ht="15" hidden="false" customHeight="true" outlineLevel="0" collapsed="false">
      <c r="A86" s="33" t="s">
        <v>779</v>
      </c>
      <c r="B86" s="67" t="s">
        <v>786</v>
      </c>
      <c r="C86" s="33" t="s">
        <v>783</v>
      </c>
    </row>
    <row r="87" customFormat="false" ht="15" hidden="false" customHeight="true" outlineLevel="0" collapsed="false">
      <c r="A87" s="33" t="s">
        <v>313</v>
      </c>
      <c r="B87" s="67" t="s">
        <v>314</v>
      </c>
      <c r="C87" s="33" t="s">
        <v>309</v>
      </c>
    </row>
    <row r="88" customFormat="false" ht="15" hidden="false" customHeight="true" outlineLevel="0" collapsed="false">
      <c r="A88" s="33" t="s">
        <v>283</v>
      </c>
      <c r="B88" s="67" t="s">
        <v>284</v>
      </c>
      <c r="C88" s="33" t="s">
        <v>1648</v>
      </c>
    </row>
    <row r="89" customFormat="false" ht="15" hidden="false" customHeight="true" outlineLevel="0" collapsed="false">
      <c r="A89" s="33" t="s">
        <v>405</v>
      </c>
      <c r="B89" s="67" t="s">
        <v>406</v>
      </c>
      <c r="C89" s="33" t="s">
        <v>400</v>
      </c>
    </row>
    <row r="90" customFormat="false" ht="15" hidden="false" customHeight="true" outlineLevel="0" collapsed="false">
      <c r="A90" s="33" t="s">
        <v>385</v>
      </c>
      <c r="B90" s="67" t="s">
        <v>386</v>
      </c>
      <c r="C90" s="33" t="s">
        <v>381</v>
      </c>
    </row>
    <row r="91" customFormat="false" ht="15" hidden="false" customHeight="true" outlineLevel="0" collapsed="false">
      <c r="A91" s="33" t="s">
        <v>753</v>
      </c>
      <c r="B91" s="67" t="s">
        <v>754</v>
      </c>
      <c r="C91" s="33" t="s">
        <v>749</v>
      </c>
    </row>
    <row r="92" customFormat="false" ht="15" hidden="false" customHeight="true" outlineLevel="0" collapsed="false">
      <c r="A92" s="33" t="s">
        <v>702</v>
      </c>
      <c r="B92" s="67" t="s">
        <v>703</v>
      </c>
      <c r="C92" s="33" t="s">
        <v>694</v>
      </c>
    </row>
    <row r="93" customFormat="false" ht="15" hidden="false" customHeight="true" outlineLevel="0" collapsed="false">
      <c r="A93" s="33" t="s">
        <v>544</v>
      </c>
      <c r="B93" s="67" t="s">
        <v>545</v>
      </c>
      <c r="C93" s="33" t="s">
        <v>540</v>
      </c>
    </row>
    <row r="94" customFormat="false" ht="15" hidden="false" customHeight="true" outlineLevel="0" collapsed="false">
      <c r="A94" s="33" t="s">
        <v>647</v>
      </c>
      <c r="B94" s="67" t="s">
        <v>648</v>
      </c>
      <c r="C94" s="33" t="s">
        <v>641</v>
      </c>
    </row>
    <row r="95" customFormat="false" ht="15" hidden="false" customHeight="true" outlineLevel="0" collapsed="false">
      <c r="A95" s="33" t="s">
        <v>394</v>
      </c>
      <c r="B95" s="67" t="s">
        <v>395</v>
      </c>
      <c r="C95" s="33" t="s">
        <v>391</v>
      </c>
    </row>
    <row r="96" customFormat="false" ht="15" hidden="false" customHeight="true" outlineLevel="0" collapsed="false">
      <c r="A96" s="33" t="s">
        <v>246</v>
      </c>
      <c r="B96" s="67" t="s">
        <v>247</v>
      </c>
      <c r="C96" s="33" t="s">
        <v>242</v>
      </c>
    </row>
    <row r="97" customFormat="false" ht="15" hidden="false" customHeight="true" outlineLevel="0" collapsed="false">
      <c r="A97" s="33" t="s">
        <v>485</v>
      </c>
      <c r="B97" s="67" t="s">
        <v>486</v>
      </c>
      <c r="C97" s="33" t="s">
        <v>480</v>
      </c>
    </row>
    <row r="98" customFormat="false" ht="15" hidden="false" customHeight="true" outlineLevel="0" collapsed="false">
      <c r="A98" s="33" t="s">
        <v>579</v>
      </c>
      <c r="B98" s="67" t="s">
        <v>580</v>
      </c>
      <c r="C98" s="33" t="s">
        <v>1649</v>
      </c>
    </row>
    <row r="99" customFormat="false" ht="15" hidden="false" customHeight="true" outlineLevel="0" collapsed="false">
      <c r="A99" s="33" t="s">
        <v>874</v>
      </c>
      <c r="B99" s="67" t="s">
        <v>875</v>
      </c>
      <c r="C99" s="33" t="s">
        <v>1650</v>
      </c>
    </row>
    <row r="100" customFormat="false" ht="15" hidden="false" customHeight="true" outlineLevel="0" collapsed="false">
      <c r="A100" s="33" t="s">
        <v>505</v>
      </c>
      <c r="B100" s="67" t="s">
        <v>506</v>
      </c>
      <c r="C100" s="33" t="s">
        <v>1651</v>
      </c>
    </row>
    <row r="101" customFormat="false" ht="15" hidden="false" customHeight="true" outlineLevel="0" collapsed="false">
      <c r="A101" s="33" t="s">
        <v>635</v>
      </c>
      <c r="B101" s="67" t="s">
        <v>636</v>
      </c>
      <c r="C101" s="33" t="s">
        <v>632</v>
      </c>
    </row>
    <row r="102" customFormat="false" ht="15" hidden="false" customHeight="true" outlineLevel="0" collapsed="false">
      <c r="A102" s="33" t="s">
        <v>494</v>
      </c>
      <c r="B102" s="67" t="s">
        <v>495</v>
      </c>
      <c r="C102" s="33" t="s">
        <v>491</v>
      </c>
    </row>
    <row r="103" customFormat="false" ht="15" hidden="false" customHeight="true" outlineLevel="0" collapsed="false">
      <c r="A103" s="33" t="s">
        <v>768</v>
      </c>
      <c r="B103" s="67" t="s">
        <v>769</v>
      </c>
      <c r="C103" s="33" t="s">
        <v>1638</v>
      </c>
    </row>
    <row r="104" customFormat="false" ht="15" hidden="false" customHeight="true" outlineLevel="0" collapsed="false">
      <c r="A104" s="33" t="s">
        <v>270</v>
      </c>
      <c r="B104" s="67" t="s">
        <v>271</v>
      </c>
      <c r="C104" s="33" t="s">
        <v>267</v>
      </c>
    </row>
    <row r="105" customFormat="false" ht="15" hidden="false" customHeight="true" outlineLevel="0" collapsed="false">
      <c r="A105" s="33" t="s">
        <v>83</v>
      </c>
      <c r="B105" s="67" t="s">
        <v>84</v>
      </c>
      <c r="C105" s="33" t="s">
        <v>78</v>
      </c>
    </row>
    <row r="106" customFormat="false" ht="15" hidden="false" customHeight="true" outlineLevel="0" collapsed="false">
      <c r="A106" s="33" t="s">
        <v>716</v>
      </c>
      <c r="B106" s="67" t="s">
        <v>717</v>
      </c>
      <c r="C106" s="33" t="s">
        <v>712</v>
      </c>
    </row>
    <row r="107" customFormat="false" ht="15" hidden="false" customHeight="true" outlineLevel="0" collapsed="false">
      <c r="A107" s="33" t="s">
        <v>418</v>
      </c>
      <c r="B107" s="67" t="s">
        <v>419</v>
      </c>
      <c r="C107" s="33" t="s">
        <v>1652</v>
      </c>
    </row>
    <row r="108" customFormat="false" ht="15" hidden="false" customHeight="true" outlineLevel="0" collapsed="false">
      <c r="A108" s="33" t="s">
        <v>363</v>
      </c>
      <c r="B108" s="67" t="s">
        <v>364</v>
      </c>
      <c r="C108" s="33" t="s">
        <v>360</v>
      </c>
    </row>
    <row r="109" customFormat="false" ht="15" hidden="false" customHeight="true" outlineLevel="0" collapsed="false">
      <c r="A109" s="33" t="s">
        <v>206</v>
      </c>
      <c r="B109" s="67" t="s">
        <v>207</v>
      </c>
      <c r="C109" s="33" t="s">
        <v>1653</v>
      </c>
    </row>
    <row r="110" customFormat="false" ht="15" hidden="false" customHeight="true" outlineLevel="0" collapsed="false">
      <c r="A110" s="33" t="s">
        <v>591</v>
      </c>
      <c r="B110" s="67" t="s">
        <v>592</v>
      </c>
      <c r="C110" s="33" t="s">
        <v>586</v>
      </c>
    </row>
    <row r="111" customFormat="false" ht="15" hidden="false" customHeight="true" outlineLevel="0" collapsed="false">
      <c r="A111" s="33" t="s">
        <v>815</v>
      </c>
      <c r="B111" s="67" t="s">
        <v>816</v>
      </c>
      <c r="C111" s="33" t="s">
        <v>811</v>
      </c>
    </row>
    <row r="112" customFormat="false" ht="15" hidden="false" customHeight="true" outlineLevel="0" collapsed="false">
      <c r="A112" s="33" t="s">
        <v>896</v>
      </c>
      <c r="B112" s="67" t="s">
        <v>897</v>
      </c>
      <c r="C112" s="33" t="s">
        <v>892</v>
      </c>
    </row>
    <row r="113" customFormat="false" ht="15" hidden="false" customHeight="true" outlineLevel="0" collapsed="false">
      <c r="A113" s="33" t="s">
        <v>709</v>
      </c>
      <c r="B113" s="67" t="s">
        <v>710</v>
      </c>
      <c r="C113" s="33" t="s">
        <v>705</v>
      </c>
    </row>
    <row r="114" customFormat="false" ht="15" hidden="false" customHeight="true" outlineLevel="0" collapsed="false">
      <c r="A114" s="33" t="s">
        <v>488</v>
      </c>
      <c r="B114" s="67" t="s">
        <v>489</v>
      </c>
      <c r="C114" s="33" t="s">
        <v>480</v>
      </c>
    </row>
    <row r="115" customFormat="false" ht="15" hidden="false" customHeight="true" outlineLevel="0" collapsed="false">
      <c r="A115" s="33" t="s">
        <v>116</v>
      </c>
      <c r="B115" s="67" t="s">
        <v>117</v>
      </c>
      <c r="C115" s="33" t="s">
        <v>112</v>
      </c>
    </row>
    <row r="116" customFormat="false" ht="15" hidden="false" customHeight="true" outlineLevel="0" collapsed="false">
      <c r="A116" s="33" t="s">
        <v>99</v>
      </c>
      <c r="B116" s="67" t="s">
        <v>100</v>
      </c>
      <c r="C116" s="33" t="s">
        <v>1654</v>
      </c>
    </row>
    <row r="117" customFormat="false" ht="15" hidden="false" customHeight="true" outlineLevel="0" collapsed="false">
      <c r="A117" s="33" t="s">
        <v>96</v>
      </c>
      <c r="B117" s="67" t="s">
        <v>97</v>
      </c>
      <c r="C117" s="33" t="s">
        <v>1655</v>
      </c>
    </row>
    <row r="118" customFormat="false" ht="15" hidden="false" customHeight="true" outlineLevel="0" collapsed="false">
      <c r="A118" s="33" t="s">
        <v>742</v>
      </c>
      <c r="B118" s="67" t="s">
        <v>743</v>
      </c>
      <c r="C118" s="33" t="s">
        <v>739</v>
      </c>
    </row>
    <row r="119" customFormat="false" ht="15" hidden="false" customHeight="true" outlineLevel="0" collapsed="false">
      <c r="A119" s="33" t="s">
        <v>378</v>
      </c>
      <c r="B119" s="67" t="s">
        <v>379</v>
      </c>
      <c r="C119" s="33" t="s">
        <v>1656</v>
      </c>
    </row>
    <row r="120" customFormat="false" ht="15" hidden="false" customHeight="true" outlineLevel="0" collapsed="false">
      <c r="A120" s="33" t="s">
        <v>562</v>
      </c>
      <c r="B120" s="67" t="s">
        <v>563</v>
      </c>
      <c r="C120" s="33" t="s">
        <v>557</v>
      </c>
    </row>
    <row r="121" customFormat="false" ht="15" hidden="false" customHeight="true" outlineLevel="0" collapsed="false">
      <c r="A121" s="33" t="s">
        <v>475</v>
      </c>
      <c r="B121" s="67" t="s">
        <v>476</v>
      </c>
      <c r="C121" s="33" t="s">
        <v>1646</v>
      </c>
    </row>
    <row r="122" customFormat="false" ht="15" hidden="false" customHeight="true" outlineLevel="0" collapsed="false">
      <c r="A122" s="33" t="s">
        <v>568</v>
      </c>
      <c r="B122" s="67" t="s">
        <v>569</v>
      </c>
      <c r="C122" s="33" t="s">
        <v>557</v>
      </c>
    </row>
    <row r="123" customFormat="false" ht="15" hidden="false" customHeight="true" outlineLevel="0" collapsed="false">
      <c r="A123" s="33" t="s">
        <v>276</v>
      </c>
      <c r="B123" s="67" t="s">
        <v>277</v>
      </c>
      <c r="C123" s="33" t="s">
        <v>267</v>
      </c>
    </row>
    <row r="124" customFormat="false" ht="15" hidden="false" customHeight="true" outlineLevel="0" collapsed="false">
      <c r="A124" s="33" t="s">
        <v>421</v>
      </c>
      <c r="B124" s="67" t="s">
        <v>422</v>
      </c>
      <c r="C124" s="33" t="s">
        <v>415</v>
      </c>
    </row>
    <row r="125" customFormat="false" ht="15" hidden="false" customHeight="true" outlineLevel="0" collapsed="false">
      <c r="A125" s="33" t="s">
        <v>691</v>
      </c>
      <c r="B125" s="67" t="s">
        <v>692</v>
      </c>
      <c r="C125" s="33" t="s">
        <v>683</v>
      </c>
    </row>
    <row r="126" customFormat="false" ht="15" hidden="false" customHeight="true" outlineLevel="0" collapsed="false">
      <c r="A126" s="33" t="s">
        <v>508</v>
      </c>
      <c r="B126" s="67" t="s">
        <v>509</v>
      </c>
      <c r="C126" s="33" t="s">
        <v>1651</v>
      </c>
    </row>
    <row r="127" customFormat="false" ht="15" hidden="false" customHeight="true" outlineLevel="0" collapsed="false">
      <c r="A127" s="33" t="s">
        <v>153</v>
      </c>
      <c r="B127" s="67" t="s">
        <v>154</v>
      </c>
      <c r="C127" s="33" t="s">
        <v>1657</v>
      </c>
    </row>
    <row r="128" customFormat="false" ht="15" hidden="false" customHeight="true" outlineLevel="0" collapsed="false">
      <c r="A128" s="33" t="s">
        <v>160</v>
      </c>
      <c r="B128" s="67" t="s">
        <v>161</v>
      </c>
      <c r="C128" s="33" t="s">
        <v>1658</v>
      </c>
    </row>
    <row r="129" customFormat="false" ht="15" hidden="false" customHeight="true" outlineLevel="0" collapsed="false">
      <c r="A129" s="33" t="s">
        <v>664</v>
      </c>
      <c r="B129" s="67" t="s">
        <v>665</v>
      </c>
      <c r="C129" s="33" t="s">
        <v>1659</v>
      </c>
    </row>
    <row r="130" customFormat="false" ht="15" hidden="false" customHeight="true" outlineLevel="0" collapsed="false">
      <c r="A130" s="33" t="s">
        <v>674</v>
      </c>
      <c r="B130" s="67" t="s">
        <v>675</v>
      </c>
      <c r="C130" s="33" t="s">
        <v>671</v>
      </c>
    </row>
    <row r="131" customFormat="false" ht="15" hidden="false" customHeight="true" outlineLevel="0" collapsed="false">
      <c r="A131" s="33" t="s">
        <v>688</v>
      </c>
      <c r="B131" s="67" t="s">
        <v>689</v>
      </c>
      <c r="C131" s="33" t="s">
        <v>683</v>
      </c>
    </row>
    <row r="132" customFormat="false" ht="15" hidden="false" customHeight="true" outlineLevel="0" collapsed="false">
      <c r="A132" s="33" t="s">
        <v>889</v>
      </c>
      <c r="B132" s="67" t="s">
        <v>890</v>
      </c>
      <c r="C132" s="33" t="s">
        <v>885</v>
      </c>
    </row>
    <row r="133" customFormat="false" ht="15" hidden="false" customHeight="true" outlineLevel="0" collapsed="false">
      <c r="A133" s="33" t="s">
        <v>472</v>
      </c>
      <c r="B133" s="67" t="s">
        <v>473</v>
      </c>
      <c r="C133" s="33" t="s">
        <v>1646</v>
      </c>
    </row>
    <row r="134" customFormat="false" ht="15" hidden="false" customHeight="true" outlineLevel="0" collapsed="false">
      <c r="A134" s="33" t="s">
        <v>837</v>
      </c>
      <c r="B134" s="67" t="s">
        <v>838</v>
      </c>
      <c r="C134" s="33" t="s">
        <v>1660</v>
      </c>
    </row>
    <row r="135" customFormat="false" ht="15" hidden="false" customHeight="true" outlineLevel="0" collapsed="false">
      <c r="A135" s="33" t="s">
        <v>1000</v>
      </c>
      <c r="B135" s="67" t="s">
        <v>1001</v>
      </c>
      <c r="C135" s="33" t="s">
        <v>997</v>
      </c>
    </row>
    <row r="136" customFormat="false" ht="15" hidden="false" customHeight="true" outlineLevel="0" collapsed="false">
      <c r="A136" s="33" t="s">
        <v>388</v>
      </c>
      <c r="B136" s="67" t="s">
        <v>389</v>
      </c>
      <c r="C136" s="33" t="s">
        <v>381</v>
      </c>
    </row>
    <row r="137" customFormat="false" ht="15" hidden="false" customHeight="true" outlineLevel="0" collapsed="false">
      <c r="A137" s="33" t="s">
        <v>522</v>
      </c>
      <c r="B137" s="67" t="s">
        <v>523</v>
      </c>
      <c r="C137" s="33" t="s">
        <v>514</v>
      </c>
    </row>
    <row r="138" customFormat="false" ht="15" hidden="false" customHeight="true" outlineLevel="0" collapsed="false">
      <c r="A138" s="33" t="s">
        <v>719</v>
      </c>
      <c r="B138" s="67" t="s">
        <v>720</v>
      </c>
      <c r="C138" s="33" t="s">
        <v>712</v>
      </c>
    </row>
    <row r="139" customFormat="false" ht="15" hidden="false" customHeight="true" outlineLevel="0" collapsed="false">
      <c r="A139" s="33" t="s">
        <v>1009</v>
      </c>
      <c r="B139" s="67" t="s">
        <v>1010</v>
      </c>
      <c r="C139" s="33" t="s">
        <v>1003</v>
      </c>
    </row>
    <row r="140" customFormat="false" ht="15" hidden="false" customHeight="true" outlineLevel="0" collapsed="false">
      <c r="A140" s="33" t="s">
        <v>1006</v>
      </c>
      <c r="B140" s="67" t="s">
        <v>1007</v>
      </c>
      <c r="C140" s="33" t="s">
        <v>1003</v>
      </c>
    </row>
    <row r="141" customFormat="false" ht="15" hidden="false" customHeight="true" outlineLevel="0" collapsed="false">
      <c r="A141" s="33" t="s">
        <v>219</v>
      </c>
      <c r="B141" s="67" t="s">
        <v>220</v>
      </c>
      <c r="C141" s="33" t="s">
        <v>1661</v>
      </c>
    </row>
    <row r="142" customFormat="false" ht="15" hidden="false" customHeight="true" outlineLevel="0" collapsed="false">
      <c r="A142" s="33" t="s">
        <v>808</v>
      </c>
      <c r="B142" s="67" t="s">
        <v>809</v>
      </c>
      <c r="C142" s="33" t="s">
        <v>805</v>
      </c>
    </row>
    <row r="143" customFormat="false" ht="15" hidden="false" customHeight="true" outlineLevel="0" collapsed="false">
      <c r="A143" s="33" t="s">
        <v>650</v>
      </c>
      <c r="B143" s="67" t="s">
        <v>651</v>
      </c>
      <c r="C143" s="33" t="s">
        <v>641</v>
      </c>
    </row>
  </sheetData>
  <hyperlinks>
    <hyperlink ref="B4" r:id="rId1" display="https://development.asia/summary/guidelines-economic-analysis-projects"/>
    <hyperlink ref="B5" r:id="rId2" display="https://www.avsf.org/app/uploads/2023/12/actions-innovantes_equite-_ugf_cnd_avsf_2019.pdf"/>
    <hyperlink ref="B6" r:id="rId3" display="https://independent.academia.edu/DavidADAMON"/>
    <hyperlink ref="B7" r:id="rId4" display="https://agrilinks.org/post/cocoa-farmers-ghana-show-strong-interest-solar-based-irrigation-pump-costs-are-often-too-high"/>
    <hyperlink ref="B8" r:id="rId5" display="https://doaj.org/article/73e0ffab0b6a4dd882aaedcc6ee0e28b"/>
    <hyperlink ref="B9" r:id="rId6" display="https://allafrica.com/stories/202602110580.html"/>
    <hyperlink ref="B10" r:id="rId7" display="https://allafrica.com/stories/202506110147.html"/>
    <hyperlink ref="B11" r:id="rId8" display="https://sell.amazon.com/programs/warehousing"/>
    <hyperlink ref="B12" r:id="rId9" display="https://sell.amazon.com/fulfillment-by-amazon"/>
    <hyperlink ref="B13" r:id="rId10" display="https://sell.amazon.com/pricing"/>
    <hyperlink ref="B14" r:id="rId11" display="https://www.etd.ceu.edu/2022/amegayie_amos.pdf"/>
    <hyperlink ref="B15" r:id="rId12" display="https://woodgas.com/wp-content/uploads/2022/08/Small-and-medium-pyrolysis-20-minutes-2022-08-30.pdf"/>
    <hyperlink ref="B16" r:id="rId13" display="https://ir.knust.edu.gh/items/55b8fbe9-58e6-4ed9-aedf-281400004a58/full"/>
    <hyperlink ref="B17" r:id="rId14" display="https://audit.gov.gh/files/audit_reports/Performance_Audit_Report_Of_The_Auditor-General_On_Management_Of_The_Green_Ghana_Project_By_Ministry_Of_Lands_And_Natural_Resources.pdf"/>
    <hyperlink ref="B18" r:id="rId15" display="https://core.ac.uk/display/385054"/>
    <hyperlink ref="B19" r:id="rId16" display="https://www.energy-storage.news/?p=92133"/>
    <hyperlink ref="B20" r:id="rId17" display="https://ir.knust.edu.gh/items/3dfcb635-4563-4fad-9e72-aba3d0115d5c/full"/>
    <hyperlink ref="B21" r:id="rId18" display="https://www.tropentag.de/2022/abstracts/posters/179.pdf"/>
    <hyperlink ref="B22" r:id="rId19" display="https://www.marketscreener.com/quote/stock/BARCLAYS-PLC-9583556/news/Ghana-s-cedi-set-to-weaken-sharply-as-gold-exports-plateau-and-spending-rises-Barclays-warns-50499015/"/>
    <hyperlink ref="B23" r:id="rId20" display="https://www.beeculture.com/catch-buzz-ghana-wants-piece-global-honey-export-business-intends-fund-growth/"/>
    <hyperlink ref="B24" r:id="rId21" display="https://beesforbabar.org/photos_update_20260705.htm"/>
    <hyperlink ref="B25" r:id="rId22" display="https://biochartoday.com/news/a-comparison-of-biochar-kilns-for-low-to-middle-income-countries/"/>
    <hyperlink ref="B26" r:id="rId23" display="https://biochartoday.com/news/traditional-kilns-boost-farmer-net-revenue-by-94-with-biochar/"/>
    <hyperlink ref="B27" r:id="rId24" display="https://agris.fao.org/search/fr/records/65df45000f3e94b9e5d6cd8e"/>
    <hyperlink ref="B28" r:id="rId25" display="https://www.ocl-journal.org/articles/ocl/pdf/2014/02/ocl130026.pdf"/>
    <hyperlink ref="B29" r:id="rId26" display="https://cpsm.cersgis.org/media/reports/End_of_2023_Charcoal_price_tracking_v2.pdf"/>
    <hyperlink ref="B30" r:id="rId27" display="https://www.crs.org/sites/default/files/2025-04/ReGreening%20Africa%20Case%20Study_final%20%281%29.pdf"/>
    <hyperlink ref="B31" r:id="rId28" display="https://www.gcirc.org/fileadmin/documents/Proceedings/IRCPrague2011vol2/Oilmill_Refining_Process/1101-1104.pdf"/>
    <hyperlink ref="B32" r:id="rId29" display="https://citinewsroom.com/2025/08/insurance-penetration-stalls-at-1-despite-density-gains/"/>
    <hyperlink ref="B33" r:id="rId30" display="https://www.citinewsroom.com/2025/07/ghana-targets-640m-annual-revenue-from-shea-under-24-hour-economy-push/"/>
    <hyperlink ref="B34" r:id="rId31" display="https://www.citinewsroom.com/?p=1369423"/>
    <hyperlink ref="B35" r:id="rId32" display="https://link.springer.com/10.1186/s42408-023-00198-z"/>
    <hyperlink ref="B36" r:id="rId33" display="https://pages.stern.nyu.edu/~adamodar/New_Home_Page/datafile/ctryprem.html"/>
    <hyperlink ref="B37" r:id="rId34" display="https://www.darwininitiative.org.uk/documents/DAR30001/27704/30-001%20AR2%20-%20edited.pdf"/>
    <hyperlink ref="B38" r:id="rId35" display="https://www.myjoyonline.com/cedi-to-end-year-at-gh%C2%A212-20-to-a-us-dollar-databank-research/"/>
    <hyperlink ref="B39" r:id="rId36" display="https://www.european-biochar.org/media/doc/2/artisan-c-sink-guidelines_v1_0.pdf"/>
    <hyperlink ref="B40" r:id="rId37" display="https://rise.esmap.org/data/files/library/burkina-faso/Clean%20Cooking/Burkina%20Faso_Impact%20assessment%20of%20improved%20cookstoves%20in%20Burkina%20Faso_2013.pdf"/>
    <hyperlink ref="B41" r:id="rId38" display="https://www.ecofinagency.com/news/2307-47810-ghana-to-revive-shea-processing-plant-with-4-million-injection"/>
    <hyperlink ref="B42" r:id="rId39" display="https://www.ecofinagency.com/news-agriculture/1607-47708-shea-sector-west-africa-market-struggles-as-export-bans-expand"/>
    <hyperlink ref="B43" r:id="rId40" display="https://energyforgrowth.org/article/how-can-small-and-medium-enterprises-cope-with-power-outages"/>
    <hyperlink ref="B44" r:id="rId41" display="https://techxlab.org/solutions/envirofit-saverpro100-stove/"/>
    <hyperlink ref="B45" r:id="rId42" display="https://www.fao.org/4/y5110e/y5110e07.htm"/>
    <hyperlink ref="B46" r:id="rId43" display="https://www.fao.org/4/X3940E/X3940E09.htm"/>
    <hyperlink ref="B47" r:id="rId44" display="https://www.fao.org/4/X3940E/X3940E04.htm"/>
    <hyperlink ref="B48" r:id="rId45" display="https://fred.stlouisfed.org/series/DEXINUS"/>
    <hyperlink ref="B49" r:id="rId46" display="https://fred.stlouisfed.org/series/DEXUSEU"/>
    <hyperlink ref="B50" r:id="rId47" display="https://fred.stlouisfed.org/series/DGS10"/>
    <hyperlink ref="B51" r:id="rId48" display="https://fsrp.org.gh/blog/From-Dry-Fields-To-Full-Baskets-%28How-Ghana%27s-Tomato-Farmers-Are-Re-writting-The-Dry-Season%29"/>
    <hyperlink ref="B52" r:id="rId49" display="https://feedipedia.review.fao.org/node/516"/>
    <hyperlink ref="B53" r:id="rId50" display="https://www.freshplaza.com/article/9744750/ghana-boosts-mango-supply-to-support-processing"/>
    <hyperlink ref="B54" r:id="rId51" display="https://files.acquia.undp.org/public/migration/gh/7edf98392d07687a6c332f8836d5f5378bbb4f2ffb5f1443d6ffdfbea6af7c58.pdf"/>
    <hyperlink ref="B55" r:id="rId52" display="https://www.greenclimate.fund/sites/default/files/document/gcf-b26-02-add09.pdf"/>
    <hyperlink ref="B56" r:id="rId53" display="https://www.greenclimate.fund/sites/default/files/documents/2026-10/gcf-fp137-apr-2025-v1.pdf"/>
    <hyperlink ref="B57" r:id="rId54" display="https://www.greenclimate.fund/sites/default/files/document/fp137-interim-evaluation-report-pub.pdf"/>
    <hyperlink ref="B58" r:id="rId55" display="https://www.meteo.gov.gh/documents/12579/State_of_the_climate_Report_2025.pdf"/>
    <hyperlink ref="B59" r:id="rId56" display="https://gna.org.gh/2024/06/accra-residents-experience-outages-four-times-a-week-iea-survey/"/>
    <hyperlink ref="B60" r:id="rId57" display="https://gna.org.gh/2026/09/vice-president-opoku-agyemang-opens-world-shea-expo-2026-in-tamale/"/>
    <hyperlink ref="B61" r:id="rId58" display="https://globalshea.com/gsamain/storage/img/news/docs/Finance%20Reimagined_%20A%20Replicable%20Model%20For%20Financing%20The%20Shea%20Industry%20(1).pdf"/>
    <hyperlink ref="B62" r:id="rId59" display="https://globalshea.com/gsamain/storage/img/news/docs/TOR%20FOR%20SUPPLY%20OF%20ENERGY%20SAVING%20COOKSTOVES.docx.pdf"/>
    <hyperlink ref="B63" r:id="rId60" display="https://www.myjoyonline.com/west-africa-losing-8-million-shea-trees-annually-global-shea-alliance-warns/"/>
    <hyperlink ref="B64" r:id="rId61" display="https://www.gafonline.mil.gh/blog-details/eastern-naval-command-conducts-flood-rescues-in-tema"/>
    <hyperlink ref="B65" r:id="rId62" display="https://ghanacic.org/wp-content/uploads/2024/04/ECONOMIC-POTENTIAL-FOR-RESIDUAL-AGRO-AND-BIOMASS-FUELS-IN-GHANA_final.pdf"/>
    <hyperlink ref="B66" r:id="rId63" display="https://api.globalsolaratlas.info/data/lta?loc=5.67,0.00"/>
    <hyperlink ref="B67" r:id="rId64" display="https://www.graphic.com.gh/daily-graphic-editorials/ghana-news-tree-planting-is-easy-nurturing-is-the-test.html"/>
    <hyperlink ref="B68" r:id="rId65" display="https://www.graphic.com.gh/news/general-news/ghana-news-shea-butter-processing-facility-inaugurated-at-kpugi.html"/>
    <hyperlink ref="B69" r:id="rId66" display="https://www.graphic.com.gh/business/business-news/fitch-upgrades-ghanas-sovereign-rating-as-debt-burden-eases.html"/>
    <hyperlink ref="B70" r:id="rId67" display="https://www.graphic.com.gh/news/general-news/ghanan-news-disbursement-for-shea-collectors-begins-in-bimbilla-275-000-women-to-receive-eur13m-for-2026-season.html"/>
    <hyperlink ref="B71" r:id="rId68" display="https://www.graphic.com.gh/features/features/bole-crig-develops-short-gestation-shea.html"/>
    <hyperlink ref="B72" r:id="rId69" display="https://graphic.com.gh/business/business-news/insuring-commercial-property-what-is-missing.html"/>
    <hyperlink ref="B73" r:id="rId70" display="https://www.graphic.com.gh/business/business-news/tcda-sets-gh-9-01-kg-as-minimum-producer-price-for-shea-nuts-from-july-1.html"/>
    <hyperlink ref="B74" r:id="rId71" display="https://www.gulf-times.com/article/717500/international/africa/sellers-under-strain-in-ivory-coasts-struggling-shea-industry"/>
    <hyperlink ref="B75" r:id="rId72" display="https://www.hollard.com.gh/general/business-insurance/commercial-assets-insurance/fire-insurance"/>
    <hyperlink ref="B76" r:id="rId73" display="https://www.howwemadeitinafrica.com/ghana-company-sells-homegrown-shea-butter-to-unilever-and-loccitane/139951/"/>
    <hyperlink ref="B77" r:id="rId74" display="https://apps.worldagroforestry.org/treedb2/speciesprofile.php?Spid=394"/>
    <hyperlink ref="B78" r:id="rId75" display="https://icvcm.org/?p=9246"/>
    <hyperlink ref="B79" r:id="rId76" display="https://www.iea.org/policies/5646-net-metering-code"/>
    <hyperlink ref="B80" r:id="rId77" display="https://www.ieta.org/uploads/wp-content/2026/03/IETA_CMWG_BusinessBrief_Biochar_FinalJune2026.pdf"/>
    <hyperlink ref="B81" r:id="rId78" display="https://ifdc.org/wp-content/uploads/2020/09/EnGRAIS_Port-Fact-Sheet-Tema_EN.pdf"/>
    <hyperlink ref="B82" r:id="rId79" display="https://www.isd.gov.gh/government-builds-25-solar-boreholes-to-boost-vegetable-production-in-northern-ghana/"/>
    <hyperlink ref="B83" r:id="rId80" display="https://borlaug.tamu.edu/wp-content/uploads/sites/3/2019/11/ilssi-technical-report-economic-analayis-ghana.pdf"/>
    <hyperlink ref="B84" r:id="rId81" display="https://m.indiamart.com/impcat/beeswax.html"/>
    <hyperlink ref="B85" r:id="rId82" display="https://m.indiamart.com/impcat/mango-butter.html"/>
    <hyperlink ref="B86" r:id="rId83" display="https://m.indiamart.com/impcat/mango-kernel.html"/>
    <hyperlink ref="B87" r:id="rId84" display="https://raw.githubusercontent.com/os-climate/physrisk/main/docs/user_guide/vulnerability/vulnerability_functions/inundation_jrc/raw.csv"/>
    <hyperlink ref="B88" r:id="rId85" display="https://publications.jrc.ec.europa.eu/repository/handle/JRC105688"/>
    <hyperlink ref="B89" r:id="rId86" display="https://ijsses.tiu.edu.iq/index.php/ijsses/article/view/468"/>
    <hyperlink ref="B90" r:id="rId87" display="https://ir.knust.edu.gh/handle/123456789/8463"/>
    <hyperlink ref="B91" r:id="rId88" display="https://jiji.com.gh/search?query=50kva%20diesel%20generator"/>
    <hyperlink ref="B92" r:id="rId89" display="https://www.greenbuildingafrica.co.za/cross-boundary-gets-400kw-solar-pv-rooftop-project-over-the-line-in-ghana/"/>
    <hyperlink ref="B93" r:id="rId90" display="https://repository.tudelft.nl/file/File_b7e9c73e-a192-46b1-a108-a7af523df54a?preview=1"/>
    <hyperlink ref="B94" r:id="rId91" display="https://ijid.kstu.edu.gh/index.php/ijid/article/download/33/29/111"/>
    <hyperlink ref="B95" r:id="rId92" display="https://lrrd.org/lrrd25/5/haft25086.htm"/>
    <hyperlink ref="B96" r:id="rId93" display="https://revues.cirad.fr/index.php/fruits/article/download/35862/34641/37906"/>
    <hyperlink ref="B97" r:id="rId94" display="https://fruits.edpsciences.org/articles/fruits/abs/2004/06/i4039/i4039.html"/>
    <hyperlink ref="B98" r:id="rId95" display="https://www.tropentag.de/2024/abstracts/links/Lartey-Young_d3Kv4wqE.php"/>
    <hyperlink ref="B99" r:id="rId96" display="https://www.lombardins.com/wp-content/uploads/2025/09/Hollard-Business-vs-Lombard-Commercial-Auto-Provisions-and-Excesses-Comparison_FINAL.pdf"/>
    <hyperlink ref="B100" r:id="rId97" display="https://www.gov.uk/research-for-development-outputs/carbon-sequestration-potential-of-parkland-agroforestry-in-the-sahel"/>
    <hyperlink ref="B101" r:id="rId98" display="https://www.msci.com/research-and-insights/quick-take/clean-cooking-dominates-corsia-but-premium-faces-pressure"/>
    <hyperlink ref="B102" r:id="rId99" display="https://ageconsearch.umn.edu/record/368218/files/Mahama4332025AJAEES131074.pdf"/>
    <hyperlink ref="B103" r:id="rId100" display="https://link.springer.com/article/10.1007/s11746-012-2054-6"/>
    <hyperlink ref="B104" r:id="rId101" display="https://www.myjoyonline.com/?p=10047971"/>
    <hyperlink ref="B105" r:id="rId102" display="https://www.myjoyonline.com/cedi-depreciates-by-9-5-in-nine-months-of-2026-bog/"/>
    <hyperlink ref="B106" r:id="rId103" display="https://www.myjoyonline.com/fuel-prices-to-rise-from-october-1-diesel-could-hit-gh%C2%A219-60-comac/"/>
    <hyperlink ref="B107" r:id="rId104" display="https://doaj.org/article/5092b417b85c425388272fd8bdc264e2"/>
    <hyperlink ref="B108" r:id="rId105" display="https://www.tropentag.de/2016/abstracts/pdf/1029.pdf"/>
    <hyperlink ref="B109" r:id="rId106" display="https://ideas.repec.org/a/spr/envsyd/v44y2024i1d10.1007_s10669-023-09925-y.html"/>
    <hyperlink ref="B110" r:id="rId107" display="https://www.globalgiving.org/pfil/39822/projdoc.pdf"/>
    <hyperlink ref="B111" r:id="rId108" display="https://www.ocl-journal.org/articles/ocl/pdf/2009/02/ocl2009162p111.pdf"/>
    <hyperlink ref="B112" r:id="rId109" display="https://ownkey.com/gh/blog/borehole-drilling-ghana-guide"/>
    <hyperlink ref="B113" r:id="rId110" display="https://purc.com.gh/attachment/346541-20260729120703.pdf"/>
    <hyperlink ref="B114" r:id="rId111" display="https://kolibri.teacherinabox.org.au/modules/en-practical_action/Crop%20processing/Nut%20Processing%20and%20Oil%20Extraction/KnO-100293_Shea%20nut%20processing.pdf"/>
    <hyperlink ref="B115" r:id="rId112" display="https://taxsummaries.pwc.com/ghana/corporate/deductions"/>
    <hyperlink ref="B116" r:id="rId113" display="https://taxsummaries.pwc.com/ghana/corporate/taxes-on-corporate-income"/>
    <hyperlink ref="B117" r:id="rId114" display="https://taxsummaries.pwc.com/Ghana/Corporate/Tax-credits-and-incentives"/>
    <hyperlink ref="B118" r:id="rId115" display="https://renewableenergymagazine.com/pv_solar/daystar-power-expands-to-ghana-20190409"/>
    <hyperlink ref="B119" r:id="rId116" display="https://media.rufford.org/media/project_reports/12807-1%20Final%20Report.pdf"/>
    <hyperlink ref="B120" r:id="rId117" display="https://carboncredits.com/?p=39628"/>
    <hyperlink ref="B121" r:id="rId118" display="https://agritrop.cirad.fr/548895"/>
    <hyperlink ref="B122" r:id="rId119" display="https://www.senken.io/carbon-removal/biochar"/>
    <hyperlink ref="B123" r:id="rId120" display="https://starrfm.com.gh/may-18-floods-most-severe-in-5-years-in-parts-of-ghana-nadmo"/>
    <hyperlink ref="B124" r:id="rId121" display="https://pollinationecology.org/index.php/jpe/article/download/473/158/1782"/>
    <hyperlink ref="B125" r:id="rId122" display="https://www.surgepv.com/blog/solar-incentives-in-ghana"/>
    <hyperlink ref="B126" r:id="rId123" display="https://sylvera.com/blog/q3-2025-carbon-data-snapshot"/>
    <hyperlink ref="B127" r:id="rId124" display="https://www.tridge.com/intelligences/shea-butter/GH/price"/>
    <hyperlink ref="B128" r:id="rId125" display="https://www.tridge.com/market-overview/refined-shea-butter"/>
    <hyperlink ref="B129" r:id="rId126" display="https://assets.publishing.service.gov.uk/media/6034ee6c8fa8f54334a5a6a9/Cost_estimation_for_SUDS.pdf"/>
    <hyperlink ref="B130" r:id="rId127" display="https://assets.publishing.service.gov.uk/media/68ef85ce2adc28a81b4ad0e9/FloodReadyReport-_an_action_plan_to_build_the_resilience_of_people_and_properties.pdf"/>
    <hyperlink ref="B131" r:id="rId128" display="https://ukgcc.com.gh/wp-content/uploads/2023/03/New-possibilities-for-solar-power-in-Ghana-2.pdf"/>
    <hyperlink ref="B132" r:id="rId129" display="https://ukgcc.com.gh/bfd_download/new-changes-from-ghanas-insurance-act-2021-act-1061"/>
    <hyperlink ref="B133" r:id="rId130" display="https://www.undp.org/node/416886"/>
    <hyperlink ref="B134" r:id="rId131" display="https://www.undp.org/ghana/projects/ghana-shea-landscapes-emission-reductions-project-gslerp"/>
    <hyperlink ref="B135" r:id="rId132" display="https://hts.usitc.gov/reststop/search?keyword=3304.99.50"/>
    <hyperlink ref="B136" r:id="rId133" display="https://pdf.usaid.gov/pdf_docs/PA00T98B.pdf"/>
    <hyperlink ref="B137" r:id="rId134" display="https://pdf.usaid.gov/pdf_docs/PA00TGBJ.pdf"/>
    <hyperlink ref="B138" r:id="rId135" display="https://wpowerproducts.com/wp-content/uploads/2022/01/APPROXIMATE-FUEL-CONSUMPTION-CHART-Jan-2022.pdf"/>
    <hyperlink ref="B139" r:id="rId136" display="https://en.wikipedia.org/wiki/African_Growth_and_Opportunity_Act"/>
    <hyperlink ref="B140" r:id="rId137" display="https://en.wikipedia.org/wiki/Tariffs_in_the_second_Trump_administration"/>
    <hyperlink ref="B141" r:id="rId138" display="https://microdata.worldbank.org/catalog/6444"/>
    <hyperlink ref="B142" r:id="rId139" display="https://thedocs.worldbank.org/en/doc/74e8be41ceb20fa0da750cda2f6b9e4e-0050012026/related/CMO-Pink-Sheet-September-2026.pdf"/>
    <hyperlink ref="B143" r:id="rId140" display="https://yen.com.gh/ghana/309707-what-ghc50000-cover-starting-a-building-project-ghan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6"/>
    <col collapsed="false" customWidth="true" hidden="false" outlineLevel="0" max="7" min="7" style="0" width="40"/>
  </cols>
  <sheetData>
    <row r="1" customFormat="false" ht="17.25" hidden="false" customHeight="true" outlineLevel="0" collapsed="false">
      <c r="A1" s="5" t="s">
        <v>1662</v>
      </c>
    </row>
    <row r="2" customFormat="false" ht="15" hidden="false" customHeight="false" outlineLevel="0" collapsed="false">
      <c r="A2" s="68" t="s">
        <v>1663</v>
      </c>
    </row>
    <row r="4" customFormat="false" ht="15" hidden="false" customHeight="false" outlineLevel="0" collapsed="false">
      <c r="A4" s="69" t="s">
        <v>1664</v>
      </c>
    </row>
    <row r="5" customFormat="false" ht="15" hidden="false" customHeight="false" outlineLevel="0" collapsed="false">
      <c r="A5" s="70" t="s">
        <v>1427</v>
      </c>
      <c r="B5" s="70" t="s">
        <v>1191</v>
      </c>
      <c r="C5" s="70" t="s">
        <v>30</v>
      </c>
      <c r="D5" s="70" t="s">
        <v>1192</v>
      </c>
    </row>
    <row r="6" customFormat="false" ht="15" hidden="false" customHeight="false" outlineLevel="0" collapsed="false">
      <c r="A6" s="71" t="s">
        <v>1402</v>
      </c>
      <c r="B6" s="72" t="n">
        <v>-139381.694319553</v>
      </c>
      <c r="C6" s="72" t="n">
        <v>-135111.791018998</v>
      </c>
      <c r="D6" s="72" t="n">
        <v>-124221.505148434</v>
      </c>
    </row>
    <row r="7" customFormat="false" ht="15" hidden="false" customHeight="false" outlineLevel="0" collapsed="false">
      <c r="A7" s="71" t="s">
        <v>371</v>
      </c>
      <c r="B7" s="72" t="n">
        <v>-31826.569773925</v>
      </c>
      <c r="C7" s="72" t="n">
        <v>-31252.9247873509</v>
      </c>
      <c r="D7" s="72" t="n">
        <v>-29779.6821828712</v>
      </c>
    </row>
    <row r="8" customFormat="false" ht="15" hidden="false" customHeight="false" outlineLevel="0" collapsed="false">
      <c r="A8" s="71" t="s">
        <v>1414</v>
      </c>
      <c r="B8" s="72" t="n">
        <v>-49410.085231309</v>
      </c>
      <c r="C8" s="72" t="n">
        <v>-45446.6931048886</v>
      </c>
      <c r="D8" s="72" t="n">
        <v>-42720.5503938361</v>
      </c>
    </row>
    <row r="9" customFormat="false" ht="15" hidden="false" customHeight="false" outlineLevel="0" collapsed="false">
      <c r="A9" s="71" t="s">
        <v>1415</v>
      </c>
      <c r="B9" s="72" t="n">
        <v>-126156.422724122</v>
      </c>
      <c r="C9" s="72" t="n">
        <v>-126156.422724122</v>
      </c>
      <c r="D9" s="72" t="n">
        <v>-126156.422724122</v>
      </c>
    </row>
    <row r="10" customFormat="false" ht="15" hidden="false" customHeight="false" outlineLevel="0" collapsed="false">
      <c r="A10" s="71" t="s">
        <v>1416</v>
      </c>
      <c r="B10" s="72" t="n">
        <v>-55785.2490059632</v>
      </c>
      <c r="C10" s="72" t="n">
        <v>-43059.930983045</v>
      </c>
      <c r="D10" s="72" t="n">
        <v>-16559.6527157761</v>
      </c>
    </row>
    <row r="11" customFormat="false" ht="15" hidden="false" customHeight="false" outlineLevel="0" collapsed="false">
      <c r="A11" s="71" t="s">
        <v>1417</v>
      </c>
      <c r="B11" s="72" t="n">
        <v>-115107.823162966</v>
      </c>
      <c r="C11" s="72" t="n">
        <v>-66504.1169232252</v>
      </c>
      <c r="D11" s="72" t="n">
        <v>594856.066956012</v>
      </c>
    </row>
    <row r="12" customFormat="false" ht="15" hidden="false" customHeight="false" outlineLevel="0" collapsed="false">
      <c r="A12" s="71" t="s">
        <v>1418</v>
      </c>
      <c r="B12" s="72" t="n">
        <v>72102.621472672</v>
      </c>
      <c r="C12" s="72" t="n">
        <v>72102.621472672</v>
      </c>
      <c r="D12" s="72" t="n">
        <v>72102.621472672</v>
      </c>
    </row>
    <row r="13" customFormat="false" ht="15" hidden="false" customHeight="false" outlineLevel="0" collapsed="false">
      <c r="A13" s="71" t="s">
        <v>1419</v>
      </c>
      <c r="B13" s="72" t="n">
        <v>-76639.6421129156</v>
      </c>
      <c r="C13" s="72" t="n">
        <v>22445.3928658592</v>
      </c>
      <c r="D13" s="72" t="n">
        <v>443556.791525652</v>
      </c>
    </row>
    <row r="14" customFormat="false" ht="15" hidden="false" customHeight="false" outlineLevel="0" collapsed="false">
      <c r="A14" s="71" t="s">
        <v>1420</v>
      </c>
      <c r="B14" s="72" t="n">
        <v>37002.5177476084</v>
      </c>
      <c r="C14" s="72" t="n">
        <v>37002.5177476084</v>
      </c>
      <c r="D14" s="72" t="n">
        <v>37002.5177476084</v>
      </c>
    </row>
    <row r="15" customFormat="false" ht="15" hidden="false" customHeight="false" outlineLevel="0" collapsed="false">
      <c r="A15" s="71" t="s">
        <v>1421</v>
      </c>
      <c r="B15" s="72" t="n">
        <v>7530.62918485738</v>
      </c>
      <c r="C15" s="72" t="n">
        <v>139263.339968661</v>
      </c>
      <c r="D15" s="72" t="n">
        <v>699127.360799826</v>
      </c>
    </row>
    <row r="16" customFormat="false" ht="15" hidden="false" customHeight="false" outlineLevel="0" collapsed="false">
      <c r="A16" s="71" t="s">
        <v>1422</v>
      </c>
      <c r="B16" s="72" t="n">
        <v>135716.992070979</v>
      </c>
      <c r="C16" s="72" t="n">
        <v>123164.624969403</v>
      </c>
      <c r="D16" s="72" t="n">
        <v>108075.807582592</v>
      </c>
    </row>
    <row r="17" customFormat="false" ht="15" hidden="false" customHeight="false" outlineLevel="0" collapsed="false">
      <c r="A17" s="71" t="s">
        <v>1423</v>
      </c>
      <c r="B17" s="72" t="n">
        <v>-107353.207663887</v>
      </c>
      <c r="C17" s="72" t="n">
        <v>-98388.9934416813</v>
      </c>
      <c r="D17" s="72" t="n">
        <v>-81414.6732060701</v>
      </c>
    </row>
    <row r="18" customFormat="false" ht="15" hidden="false" customHeight="false" outlineLevel="0" collapsed="false">
      <c r="A18" s="71" t="s">
        <v>1424</v>
      </c>
      <c r="B18" s="72" t="n">
        <v>-36838.715662397</v>
      </c>
      <c r="C18" s="72" t="n">
        <v>1427.05095604958</v>
      </c>
      <c r="D18" s="72" t="n">
        <v>434578.926518324</v>
      </c>
    </row>
    <row r="19" customFormat="false" ht="15" hidden="false" customHeight="false" outlineLevel="0" collapsed="false">
      <c r="A19" s="73" t="s">
        <v>1665</v>
      </c>
      <c r="B19" s="72" t="n">
        <v>91651.6629301188</v>
      </c>
      <c r="C19" s="72" t="n">
        <v>260114.904393773</v>
      </c>
      <c r="D19" s="72" t="n">
        <v>1265155.0146804</v>
      </c>
    </row>
    <row r="22" customFormat="false" ht="15" hidden="false" customHeight="false" outlineLevel="0" collapsed="false">
      <c r="A22" s="69" t="s">
        <v>1666</v>
      </c>
    </row>
    <row r="23" customFormat="false" ht="15" hidden="false" customHeight="false" outlineLevel="0" collapsed="false">
      <c r="A23" s="70" t="s">
        <v>27</v>
      </c>
      <c r="B23" s="70" t="s">
        <v>1667</v>
      </c>
      <c r="C23" s="70" t="s">
        <v>1668</v>
      </c>
      <c r="D23" s="70" t="s">
        <v>1669</v>
      </c>
      <c r="E23" s="70" t="s">
        <v>1670</v>
      </c>
      <c r="F23" s="70"/>
      <c r="G23" s="70" t="s">
        <v>1464</v>
      </c>
    </row>
    <row r="24" customFormat="false" ht="15" hidden="false" customHeight="false" outlineLevel="0" collapsed="false">
      <c r="A24" s="71" t="s">
        <v>1671</v>
      </c>
      <c r="B24" s="72" t="n">
        <v>128382.19360997</v>
      </c>
      <c r="C24" s="72" t="n">
        <v>819978.925224938</v>
      </c>
      <c r="D24" s="72" t="n">
        <v>691596.731614968</v>
      </c>
      <c r="E24" s="72" t="n">
        <v>260114.904393773</v>
      </c>
      <c r="G24" s="71" t="s">
        <v>1672</v>
      </c>
    </row>
    <row r="25" customFormat="false" ht="15" hidden="false" customHeight="false" outlineLevel="0" collapsed="false">
      <c r="A25" s="71" t="s">
        <v>1673</v>
      </c>
      <c r="B25" s="72" t="n">
        <v>182934.564882179</v>
      </c>
      <c r="C25" s="72" t="n">
        <v>646016.601951746</v>
      </c>
      <c r="D25" s="72" t="n">
        <v>463082.037069567</v>
      </c>
      <c r="E25" s="72" t="n">
        <v>260114.904393773</v>
      </c>
      <c r="G25" s="71" t="s">
        <v>1672</v>
      </c>
    </row>
    <row r="26" customFormat="false" ht="15" hidden="false" customHeight="false" outlineLevel="0" collapsed="false">
      <c r="A26" s="71" t="s">
        <v>1674</v>
      </c>
      <c r="B26" s="72" t="n">
        <v>126585.199004764</v>
      </c>
      <c r="C26" s="72" t="n">
        <v>447056.491938387</v>
      </c>
      <c r="D26" s="72" t="n">
        <v>320471.292933623</v>
      </c>
      <c r="E26" s="72" t="n">
        <v>260114.904393773</v>
      </c>
      <c r="G26" s="71" t="s">
        <v>1672</v>
      </c>
    </row>
    <row r="27" customFormat="false" ht="15" hidden="false" customHeight="false" outlineLevel="0" collapsed="false">
      <c r="A27" s="71" t="s">
        <v>1675</v>
      </c>
      <c r="B27" s="72" t="n">
        <v>384923.326968082</v>
      </c>
      <c r="C27" s="72" t="n">
        <v>176474.744301496</v>
      </c>
      <c r="D27" s="72" t="n">
        <v>208448.582666586</v>
      </c>
      <c r="E27" s="72" t="n">
        <v>260114.904393773</v>
      </c>
      <c r="G27" s="71" t="s">
        <v>1672</v>
      </c>
    </row>
    <row r="28" customFormat="false" ht="15" hidden="false" customHeight="false" outlineLevel="0" collapsed="false">
      <c r="A28" s="71" t="s">
        <v>1676</v>
      </c>
      <c r="B28" s="72" t="n">
        <v>195892.881745379</v>
      </c>
      <c r="C28" s="72" t="n">
        <v>394651.303550811</v>
      </c>
      <c r="D28" s="72" t="n">
        <v>198758.421805432</v>
      </c>
      <c r="E28" s="72" t="n">
        <v>260114.904393773</v>
      </c>
      <c r="G28" s="71" t="s">
        <v>1672</v>
      </c>
    </row>
    <row r="29" customFormat="false" ht="15" hidden="false" customHeight="false" outlineLevel="0" collapsed="false">
      <c r="A29" s="71" t="s">
        <v>1677</v>
      </c>
      <c r="B29" s="72" t="n">
        <v>388748.803579764</v>
      </c>
      <c r="C29" s="72" t="n">
        <v>195797.954800778</v>
      </c>
      <c r="D29" s="72" t="n">
        <v>192950.848778986</v>
      </c>
      <c r="E29" s="72" t="n">
        <v>260114.904393773</v>
      </c>
      <c r="G29" s="71" t="s">
        <v>1672</v>
      </c>
    </row>
    <row r="30" customFormat="false" ht="15" hidden="false" customHeight="false" outlineLevel="0" collapsed="false">
      <c r="A30" s="71" t="s">
        <v>1678</v>
      </c>
      <c r="B30" s="72" t="n">
        <v>239358.235668377</v>
      </c>
      <c r="C30" s="72" t="n">
        <v>401570.52743481</v>
      </c>
      <c r="D30" s="72" t="n">
        <v>162212.291766433</v>
      </c>
      <c r="E30" s="72" t="n">
        <v>260114.904393773</v>
      </c>
      <c r="G30" s="71" t="s">
        <v>1672</v>
      </c>
    </row>
    <row r="31" customFormat="false" ht="15" hidden="false" customHeight="false" outlineLevel="0" collapsed="false">
      <c r="A31" s="71" t="s">
        <v>1679</v>
      </c>
      <c r="B31" s="72" t="n">
        <v>219624.187388766</v>
      </c>
      <c r="C31" s="72" t="n">
        <v>327599.432735452</v>
      </c>
      <c r="D31" s="72" t="n">
        <v>107975.245346686</v>
      </c>
      <c r="E31" s="72" t="n">
        <v>260114.904393773</v>
      </c>
      <c r="G31" s="71" t="s">
        <v>1672</v>
      </c>
    </row>
    <row r="32" customFormat="false" ht="15" hidden="false" customHeight="false" outlineLevel="0" collapsed="false">
      <c r="A32" s="71" t="s">
        <v>1680</v>
      </c>
      <c r="B32" s="72" t="n">
        <v>233610.631740546</v>
      </c>
      <c r="C32" s="72" t="n">
        <v>339627.722353456</v>
      </c>
      <c r="D32" s="72" t="n">
        <v>106017.09061291</v>
      </c>
      <c r="E32" s="72" t="n">
        <v>260114.904393773</v>
      </c>
      <c r="G32" s="71" t="s">
        <v>1672</v>
      </c>
    </row>
    <row r="33" customFormat="false" ht="15" hidden="false" customHeight="false" outlineLevel="0" collapsed="false">
      <c r="A33" s="71" t="s">
        <v>1681</v>
      </c>
      <c r="B33" s="72" t="n">
        <v>228434.328828478</v>
      </c>
      <c r="C33" s="72" t="n">
        <v>307635.767741716</v>
      </c>
      <c r="D33" s="72" t="n">
        <v>79201.438913238</v>
      </c>
      <c r="E33" s="72" t="n">
        <v>260114.904393773</v>
      </c>
      <c r="G33" s="71" t="s">
        <v>1672</v>
      </c>
    </row>
    <row r="34" customFormat="false" ht="15" hidden="false" customHeight="false" outlineLevel="0" collapsed="false">
      <c r="A34" s="71" t="s">
        <v>1682</v>
      </c>
      <c r="B34" s="72" t="n">
        <v>245062.802050936</v>
      </c>
      <c r="C34" s="72" t="n">
        <v>290219.109079447</v>
      </c>
      <c r="D34" s="72" t="n">
        <v>45156.307028511</v>
      </c>
      <c r="E34" s="72" t="n">
        <v>260114.904393773</v>
      </c>
      <c r="G34" s="71" t="s">
        <v>1672</v>
      </c>
    </row>
    <row r="35" customFormat="false" ht="15" hidden="false" customHeight="false" outlineLevel="0" collapsed="false">
      <c r="A35" s="71" t="s">
        <v>1683</v>
      </c>
      <c r="B35" s="72" t="n">
        <v>280346.765990609</v>
      </c>
      <c r="C35" s="72" t="n">
        <v>236992.776854533</v>
      </c>
      <c r="D35" s="72" t="n">
        <v>43353.989136076</v>
      </c>
      <c r="E35" s="72" t="n">
        <v>260114.904393773</v>
      </c>
      <c r="G35" s="71" t="s">
        <v>1672</v>
      </c>
    </row>
    <row r="36" customFormat="false" ht="15" hidden="false" customHeight="false" outlineLevel="0" collapsed="false">
      <c r="A36" s="71" t="s">
        <v>1684</v>
      </c>
      <c r="B36" s="72" t="n">
        <v>249218.119781247</v>
      </c>
      <c r="C36" s="72" t="n">
        <v>281908.473618825</v>
      </c>
      <c r="D36" s="72" t="n">
        <v>32690.353837578</v>
      </c>
      <c r="E36" s="72" t="n">
        <v>260114.904393773</v>
      </c>
      <c r="G36" s="71" t="s">
        <v>1672</v>
      </c>
    </row>
    <row r="37" customFormat="false" ht="15" hidden="false" customHeight="false" outlineLevel="0" collapsed="false">
      <c r="A37" s="71" t="s">
        <v>1685</v>
      </c>
      <c r="B37" s="72" t="n">
        <v>273611.810062109</v>
      </c>
      <c r="C37" s="72" t="n">
        <v>244689.869344247</v>
      </c>
      <c r="D37" s="72" t="n">
        <v>28921.940717862</v>
      </c>
      <c r="E37" s="72" t="n">
        <v>260114.904393773</v>
      </c>
      <c r="G37" s="71" t="s">
        <v>1672</v>
      </c>
    </row>
    <row r="38" customFormat="false" ht="15" hidden="false" customHeight="false" outlineLevel="0" collapsed="false">
      <c r="A38" s="71" t="s">
        <v>1686</v>
      </c>
      <c r="B38" s="72" t="n">
        <v>250506.309623912</v>
      </c>
      <c r="C38" s="72" t="n">
        <v>271879.851783218</v>
      </c>
      <c r="D38" s="72" t="n">
        <v>21373.542159306</v>
      </c>
      <c r="E38" s="72" t="n">
        <v>260114.904393773</v>
      </c>
      <c r="G38" s="71" t="s">
        <v>1672</v>
      </c>
    </row>
    <row r="39" customFormat="false" ht="15" hidden="false" customHeight="false" outlineLevel="0" collapsed="false">
      <c r="A39" s="71" t="s">
        <v>1687</v>
      </c>
      <c r="B39" s="72" t="n">
        <v>274725.040676165</v>
      </c>
      <c r="C39" s="72" t="n">
        <v>253727.558380868</v>
      </c>
      <c r="D39" s="72" t="n">
        <v>20997.482295297</v>
      </c>
      <c r="E39" s="72" t="n">
        <v>260114.904393773</v>
      </c>
      <c r="G39" s="71" t="s">
        <v>1672</v>
      </c>
    </row>
    <row r="40" customFormat="false" ht="15" hidden="false" customHeight="false" outlineLevel="0" collapsed="false">
      <c r="A40" s="71" t="s">
        <v>1688</v>
      </c>
      <c r="B40" s="72" t="n">
        <v>253851.822134745</v>
      </c>
      <c r="C40" s="72" t="n">
        <v>273535.794948833</v>
      </c>
      <c r="D40" s="72" t="n">
        <v>19683.972814088</v>
      </c>
      <c r="E40" s="72" t="n">
        <v>260114.904393773</v>
      </c>
      <c r="G40" s="71" t="s">
        <v>1672</v>
      </c>
    </row>
    <row r="41" customFormat="false" ht="15" hidden="false" customHeight="false" outlineLevel="0" collapsed="false">
      <c r="A41" s="71" t="s">
        <v>1689</v>
      </c>
      <c r="B41" s="72" t="n">
        <v>251840.109757136</v>
      </c>
      <c r="C41" s="72" t="n">
        <v>268445.288399707</v>
      </c>
      <c r="D41" s="72" t="n">
        <v>16605.178642571</v>
      </c>
      <c r="E41" s="72" t="n">
        <v>260114.904393773</v>
      </c>
      <c r="G41" s="71" t="s">
        <v>1672</v>
      </c>
    </row>
    <row r="42" customFormat="false" ht="15" hidden="false" customHeight="false" outlineLevel="0" collapsed="false">
      <c r="A42" s="71" t="s">
        <v>1690</v>
      </c>
      <c r="B42" s="72" t="n">
        <v>264910.961324823</v>
      </c>
      <c r="C42" s="72" t="n">
        <v>253720.16181904</v>
      </c>
      <c r="D42" s="72" t="n">
        <v>11190.799505783</v>
      </c>
      <c r="E42" s="72" t="n">
        <v>260114.904393773</v>
      </c>
      <c r="G42" s="71" t="s">
        <v>1672</v>
      </c>
    </row>
    <row r="43" customFormat="false" ht="15" hidden="false" customHeight="false" outlineLevel="0" collapsed="false">
      <c r="A43" s="71" t="s">
        <v>1691</v>
      </c>
      <c r="B43" s="72" t="n">
        <v>260114.904393773</v>
      </c>
      <c r="C43" s="72" t="n">
        <v>269513.252865741</v>
      </c>
      <c r="D43" s="72" t="n">
        <v>9398.34847196797</v>
      </c>
      <c r="E43" s="72" t="n">
        <v>260114.904393773</v>
      </c>
      <c r="G43" s="71" t="s">
        <v>1672</v>
      </c>
    </row>
    <row r="44" customFormat="false" ht="15" hidden="false" customHeight="false" outlineLevel="0" collapsed="false">
      <c r="A44" s="71" t="s">
        <v>1692</v>
      </c>
      <c r="B44" s="72" t="n">
        <v>269054.333198487</v>
      </c>
      <c r="C44" s="72" t="n">
        <v>260114.904393773</v>
      </c>
      <c r="D44" s="72" t="n">
        <v>8939.428804714</v>
      </c>
      <c r="E44" s="72" t="n">
        <v>260114.904393773</v>
      </c>
      <c r="G44" s="71" t="s">
        <v>1672</v>
      </c>
    </row>
    <row r="45" customFormat="false" ht="15" hidden="false" customHeight="false" outlineLevel="0" collapsed="false">
      <c r="A45" s="71" t="s">
        <v>1693</v>
      </c>
      <c r="B45" s="72" t="n">
        <v>264016.125492363</v>
      </c>
      <c r="C45" s="72" t="n">
        <v>258164.293844478</v>
      </c>
      <c r="D45" s="72" t="n">
        <v>5851.831647885</v>
      </c>
      <c r="E45" s="72" t="n">
        <v>260114.904393773</v>
      </c>
      <c r="G45" s="71" t="s">
        <v>1672</v>
      </c>
    </row>
    <row r="46" customFormat="false" ht="15" hidden="false" customHeight="false" outlineLevel="0" collapsed="false">
      <c r="A46" s="71" t="s">
        <v>1694</v>
      </c>
      <c r="B46" s="72" t="n">
        <v>261967.232542052</v>
      </c>
      <c r="C46" s="72" t="n">
        <v>256641.789115751</v>
      </c>
      <c r="D46" s="72" t="n">
        <v>5325.443426301</v>
      </c>
      <c r="E46" s="72" t="n">
        <v>260114.904393773</v>
      </c>
      <c r="G46" s="71" t="s">
        <v>1672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2026-10-06T00:00:50Z</dcterms:created>
  <dc:creator>openpyxl</dc:creator>
  <dc:description/>
  <dc:language>en-US</dc:language>
  <cp:lastModifiedBy/>
  <dcterms:modified xsi:type="dcterms:W3CDTF">2026-10-05T20:04:04Z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